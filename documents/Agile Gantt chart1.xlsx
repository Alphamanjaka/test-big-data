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À propos de"/>
    <sheet r:id="rId2" sheetId="2" name="Couleur"/>
  </sheets>
  <definedNames>
    <definedName name="Aujourd’hui" localSheetId="1">TODAY()</definedName>
    <definedName name="Début_Projet" localSheetId="1">Couleur!$C$6</definedName>
    <definedName name="Incrément_de_défilement" localSheetId="1">Couleur!$C$7</definedName>
    <definedName name="_xlnm.Print_Titles" localSheetId="1">Couleur!$6:$9</definedName>
  </definedNames>
  <calcPr fullCalcOnLoad="1"/>
</workbook>
</file>

<file path=xl/sharedStrings.xml><?xml version="1.0" encoding="utf-8"?>
<sst xmlns="http://schemas.openxmlformats.org/spreadsheetml/2006/main" count="64" uniqueCount="46">
  <si>
    <t xml:space="preserve">Plateforme Big Data de gestion et de gouvernance des données patients
</t>
  </si>
  <si>
    <t>Madagascar Medical technologie</t>
  </si>
  <si>
    <t>Légende :</t>
  </si>
  <si>
    <t>En bonne voie</t>
  </si>
  <si>
    <t>Risque faible</t>
  </si>
  <si>
    <t>Risque moyen</t>
  </si>
  <si>
    <t>Risque élevé</t>
  </si>
  <si>
    <t>Non attribué</t>
  </si>
  <si>
    <t>RABEMANOELA Harena</t>
  </si>
  <si>
    <t>Date de début du projet :</t>
  </si>
  <si>
    <t>Incrément de défilement :</t>
  </si>
  <si>
    <t>Description du jalon</t>
  </si>
  <si>
    <t>Catégorie</t>
  </si>
  <si>
    <t>Progression</t>
  </si>
  <si>
    <t>Début</t>
  </si>
  <si>
    <t>Jours</t>
  </si>
  <si>
    <t>PHASE 1 – CADRAGE DU MÉMOIRE</t>
  </si>
  <si>
    <t>Définir la problématique et les objectifs</t>
  </si>
  <si>
    <t>Objectif</t>
  </si>
  <si>
    <t>Valider le sujet avec l'encadrant</t>
  </si>
  <si>
    <t>État de l'art (Big Data, gouvernance, santé)</t>
  </si>
  <si>
    <t>Rédiger le cahier des charges</t>
  </si>
  <si>
    <t>Validation du sujet et du cahier des charges</t>
  </si>
  <si>
    <t>Jalon</t>
  </si>
  <si>
    <t>PHASE 2 – ANALYSE ET CONCEPTION</t>
  </si>
  <si>
    <t>Analyser les besoins et les contraintes (confidentialité)</t>
  </si>
  <si>
    <t>Modéliser les données et les flux</t>
  </si>
  <si>
    <t>Planifier le calendrier de réalisation</t>
  </si>
  <si>
    <t>Identifier les risques (sécurité, délais)</t>
  </si>
  <si>
    <t>Validation de la conception par l'encadrant</t>
  </si>
  <si>
    <t>PHASE 3 – RÉALISATION</t>
  </si>
  <si>
    <t>Installer l'environnement Big Data</t>
  </si>
  <si>
    <t>Concevoir l'architecture de la plateforme</t>
  </si>
  <si>
    <t>Développer ingestion, stockage et gouvernance</t>
  </si>
  <si>
    <t>Tester et valider la plateforme</t>
  </si>
  <si>
    <t>Démonstration de la plateforme</t>
  </si>
  <si>
    <t>PHASE 4 – RÉDACTION ET SOUTENANCE</t>
  </si>
  <si>
    <t>Rédiger le mémoire</t>
  </si>
  <si>
    <t>Relecture et corrections avec l'encadrant</t>
  </si>
  <si>
    <t>Préparer la présentation de soutenance</t>
  </si>
  <si>
    <t>Dépôt du mémoire</t>
  </si>
  <si>
    <t>Soutenance</t>
  </si>
  <si>
    <t>Pour ajouter des données, insérez des lignes AU-DESSUS de celle-ci.</t>
  </si>
  <si>
    <t>À PROPOS DE CE DIAGRAMME DE GANTT</t>
  </si>
  <si>
    <t xml:space="preserve">Visualisez, puis suivez vos projets à l’aide de ce modèle de diagramme de Gantt. Pour commencer, entrez les tâches en cours dans la section Description du jalon, puis entrez les détails de chaque tâche. Le programme met à jour automatiquement les données, et il est facile d’insérer de nouvelles tâches ou d’utiliser la barre de défilement pour parcourir la chronologie. </t>
  </si>
  <si>
    <t xml:space="preserve">• Utilisez l’avancement pour ajouter la quantité du projet que vous avez terminé en ajoutant un pourcentage. 
• Ajoutez le jour où vous avez démarré votre projet à la date de début. 
• Terminez vos calculs en remplissant le nombre de jours dont vous avez besoin pour terminer votre projet dans le champ Nombre de jours. </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</si>
</sst>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0%"/>
  </numFmts>
  <fonts count="23" x14ac:knownFonts="1">
    <font>
      <sz val="11"/>
      <color theme="1"/>
      <name val="Calibri"/>
      <family val="2"/>
      <scheme val="minor"/>
    </font>
    <font>
      <sz val="11"/>
      <color rgb="FFffffff"/>
      <name val="Calibri"/>
      <family val="2"/>
    </font>
    <font>
      <b/>
      <sz val="26"/>
      <color rgb="FFffffff"/>
      <name val="Calibri"/>
      <family val="2"/>
    </font>
    <font>
      <sz val="14"/>
      <color rgb="FFffffff"/>
      <name val="Calibri"/>
      <family val="2"/>
    </font>
    <font>
      <b/>
      <sz val="22"/>
      <color theme="1"/>
      <name val="Calibri"/>
      <family val="2"/>
    </font>
    <font>
      <b/>
      <sz val="20"/>
      <color theme="1"/>
      <name val="Calibri"/>
      <family val="2"/>
    </font>
    <font>
      <sz val="11"/>
      <color theme="1"/>
      <name val="Calibri"/>
      <family val="2"/>
    </font>
    <font>
      <sz val="14"/>
      <color theme="1"/>
      <name val="Calibri"/>
      <family val="2"/>
    </font>
    <font>
      <sz val="11"/>
      <color theme="1"/>
      <name val="Calibri"/>
      <family val="2"/>
    </font>
    <font>
      <b/>
      <sz val="16"/>
      <color theme="1"/>
      <name val="Calibri"/>
      <family val="2"/>
    </font>
    <font>
      <b/>
      <sz val="14"/>
      <color rgb="FFffffff"/>
      <name val="Calibri"/>
      <family val="2"/>
    </font>
    <font>
      <b/>
      <sz val="14"/>
      <color theme="1"/>
      <name val="Calibri"/>
      <family val="2"/>
    </font>
    <font>
      <b/>
      <sz val="16"/>
      <color rgb="FF000000"/>
      <name val="Calibri"/>
      <family val="2"/>
    </font>
    <font>
      <sz val="16"/>
      <color rgb="FF000000"/>
      <name val="Calibri"/>
      <family val="2"/>
    </font>
    <font>
      <sz val="10"/>
      <color theme="1"/>
      <name val="Calibri"/>
      <family val="2"/>
    </font>
    <font>
      <b/>
      <sz val="11"/>
      <color rgb="FFffffff"/>
      <name val="Calibri"/>
      <family val="2"/>
    </font>
    <font>
      <b/>
      <sz val="10"/>
      <color rgb="FFffffff"/>
      <name val="Calibri"/>
      <family val="2"/>
    </font>
    <font>
      <b/>
      <sz val="11"/>
      <color theme="1"/>
      <name val="Calibri"/>
      <family val="2"/>
    </font>
    <font>
      <sz val="22"/>
      <color theme="1"/>
      <name val="Corbel"/>
      <family val="2"/>
    </font>
    <font>
      <sz val="20"/>
      <color theme="1"/>
      <name val="Calibri"/>
      <family val="2"/>
    </font>
    <font>
      <b/>
      <sz val="24"/>
      <color rgb="FFffffff"/>
      <name val="Calibri"/>
      <family val="2"/>
    </font>
    <font>
      <sz val="20"/>
      <color rgb="FF8e9def"/>
      <name val="Calibri"/>
      <family val="2"/>
    </font>
    <font>
      <sz val="14"/>
      <color theme="1"/>
      <name val="Corbel"/>
      <family val="2"/>
    </font>
  </fonts>
  <fills count="10">
    <fill>
      <patternFill patternType="none"/>
    </fill>
    <fill>
      <patternFill patternType="gray125"/>
    </fill>
    <fill>
      <patternFill patternType="solid">
        <fgColor rgb="FF005878"/>
      </patternFill>
    </fill>
    <fill>
      <patternFill patternType="solid">
        <fgColor rgb="FF20a472"/>
      </patternFill>
    </fill>
    <fill>
      <patternFill patternType="solid">
        <fgColor rgb="FF00b0f0"/>
      </patternFill>
    </fill>
    <fill>
      <patternFill patternType="solid">
        <fgColor rgb="FF4868e5"/>
      </patternFill>
    </fill>
    <fill>
      <patternFill patternType="solid">
        <fgColor rgb="FF862b99"/>
      </patternFill>
    </fill>
    <fill>
      <patternFill patternType="solid">
        <fgColor rgb="FFe6e6e6"/>
      </patternFill>
    </fill>
    <fill>
      <patternFill patternType="solid">
        <fgColor rgb="FFbfbfbf"/>
      </patternFill>
    </fill>
    <fill>
      <patternFill patternType="solid">
        <fgColor rgb="FFf2f2f2"/>
      </patternFill>
    </fill>
  </fills>
  <borders count="17">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right/>
      <top/>
      <bottom style="thin">
        <color rgb="FF808080"/>
      </bottom>
      <diagonal/>
    </border>
    <border>
      <left/>
      <right style="thin">
        <color rgb="FFa6a6a6"/>
      </right>
      <top/>
      <bottom/>
      <diagonal/>
    </border>
    <border>
      <left style="thin">
        <color rgb="FFa6a6a6"/>
      </left>
      <right style="thin">
        <color rgb="FFc6c6c6"/>
      </right>
      <top style="thin">
        <color rgb="FF808080"/>
      </top>
      <bottom style="thin">
        <color rgb="FFc6c6c6"/>
      </bottom>
      <diagonal/>
    </border>
    <border>
      <left style="thin">
        <color rgb="FFc6c6c6"/>
      </left>
      <right style="thin">
        <color rgb="FFc6c6c6"/>
      </right>
      <top style="thin">
        <color rgb="FF808080"/>
      </top>
      <bottom style="thin">
        <color rgb="FFc6c6c6"/>
      </bottom>
      <diagonal/>
    </border>
    <border>
      <left style="thin">
        <color rgb="FFc6c6c6"/>
      </left>
      <right style="thin">
        <color rgb="FFa6a6a6"/>
      </right>
      <top style="thin">
        <color rgb="FF808080"/>
      </top>
      <bottom style="thin">
        <color rgb="FFc6c6c6"/>
      </bottom>
      <diagonal/>
    </border>
    <border>
      <left style="thin">
        <color rgb="FFa6a6a6"/>
      </left>
      <right style="thin">
        <color rgb="FFc6c6c6"/>
      </right>
      <top style="thin">
        <color rgb="FFc6c6c6"/>
      </top>
      <bottom style="thin">
        <color rgb="FFc6c6c6"/>
      </bottom>
      <diagonal/>
    </border>
    <border>
      <left style="thin">
        <color rgb="FFa6a6a6"/>
      </left>
      <right style="thin">
        <color rgb="FFc6c6c6"/>
      </right>
      <top style="thin">
        <color rgb="FFc6c6c6"/>
      </top>
      <bottom style="thin">
        <color rgb="FFa6a6a6"/>
      </bottom>
      <diagonal/>
    </border>
    <border>
      <left style="thin">
        <color rgb="FFc6c6c6"/>
      </left>
      <right style="thin">
        <color rgb="FFa6a6a6"/>
      </right>
      <top style="thin">
        <color rgb="FFc6c6c6"/>
      </top>
      <bottom style="thin">
        <color rgb="FFa6a6a6"/>
      </bottom>
      <diagonal/>
    </border>
    <border>
      <left style="thin">
        <color rgb="FFc6c6c6"/>
      </left>
      <right style="thin">
        <color rgb="FFa6a6a6"/>
      </right>
      <top style="thin">
        <color rgb="FFc6c6c6"/>
      </top>
      <bottom style="thin">
        <color rgb="FFc6c6c6"/>
      </bottom>
      <diagonal/>
    </border>
    <border>
      <left style="thin">
        <color rgb="FFa6a6a6"/>
      </left>
      <right style="thin">
        <color rgb="FFa6a6a6"/>
      </right>
      <top style="thin">
        <color rgb="FFa6a6a6"/>
      </top>
      <bottom style="thin">
        <color rgb="FFa6a6a6"/>
      </bottom>
      <diagonal/>
    </border>
    <border>
      <left style="thin">
        <color rgb="FFd9d9d9"/>
      </left>
      <right style="thin">
        <color rgb="FFd9d9d9"/>
      </right>
      <top/>
      <bottom/>
      <diagonal/>
    </border>
    <border>
      <left style="thin">
        <color rgb="FFd9d9d9"/>
      </left>
      <right style="thin">
        <color rgb="FFd9d9d9"/>
      </right>
      <top style="thin">
        <color rgb="FFd9d9d9"/>
      </top>
      <bottom style="thin">
        <color rgb="FFd9d9d9"/>
      </bottom>
      <diagonal/>
    </border>
    <border>
      <left style="thin">
        <color rgb="FF808080"/>
      </left>
      <right style="thin">
        <color rgb="FF808080"/>
      </right>
      <top style="thin">
        <color rgb="FF808080"/>
      </top>
      <bottom style="thin">
        <color rgb="FF808080"/>
      </bottom>
      <diagonal/>
    </border>
    <border>
      <left style="thin">
        <color rgb="FFd9d9d9"/>
      </left>
      <right/>
      <top/>
      <bottom style="thin">
        <color rgb="FFffffff"/>
      </bottom>
      <diagonal/>
    </border>
  </borders>
  <cellStyleXfs count="1">
    <xf numFmtId="0" fontId="0" fillId="0" borderId="0"/>
  </cellStyleXfs>
  <cellXfs count="85">
    <xf xfId="0" numFmtId="0" borderId="0" fontId="0" fillId="0"/>
    <xf xfId="0" numFmtId="0" borderId="0" fontId="0" fillId="0" applyAlignment="1">
      <alignment horizontal="general"/>
    </xf>
    <xf xfId="0" numFmtId="3" applyNumberFormat="1" borderId="0" fontId="0" fillId="0" applyAlignment="1">
      <alignment horizontal="general"/>
    </xf>
    <xf xfId="0" numFmtId="164" applyNumberFormat="1" borderId="0" fontId="0" fillId="0" applyAlignment="1">
      <alignment horizontal="general"/>
    </xf>
    <xf xfId="0" numFmtId="14" applyNumberFormat="1" borderId="0" fontId="0" fillId="0" applyAlignment="1">
      <alignment horizontal="general"/>
    </xf>
    <xf xfId="0" numFmtId="3" applyNumberFormat="1" borderId="0" fontId="0" fillId="0" applyAlignment="1">
      <alignment horizontal="center"/>
    </xf>
    <xf xfId="0" numFmtId="0" borderId="0" fontId="0" fillId="0" applyAlignment="1">
      <alignment horizontal="right"/>
    </xf>
    <xf xfId="0" numFmtId="0" borderId="1" applyBorder="1" fontId="1" applyFont="1" fillId="0" applyAlignment="1">
      <alignment horizontal="left" wrapText="1"/>
    </xf>
    <xf xfId="0" numFmtId="0" borderId="2" applyBorder="1" fontId="2" applyFont="1" fillId="2" applyFill="1" applyAlignment="1">
      <alignment horizontal="left" wrapText="1"/>
    </xf>
    <xf xfId="0" numFmtId="3" applyNumberFormat="1" borderId="2" applyBorder="1" fontId="2" applyFont="1" fillId="2" applyFill="1" applyAlignment="1">
      <alignment horizontal="left"/>
    </xf>
    <xf xfId="0" numFmtId="164" applyNumberFormat="1" borderId="2" applyBorder="1" fontId="2" applyFont="1" fillId="2" applyFill="1" applyAlignment="1">
      <alignment horizontal="left"/>
    </xf>
    <xf xfId="0" numFmtId="14" applyNumberFormat="1" borderId="2" applyBorder="1" fontId="2" applyFont="1" fillId="2" applyFill="1" applyAlignment="1">
      <alignment horizontal="left"/>
    </xf>
    <xf xfId="0" numFmtId="0" borderId="2" applyBorder="1" fontId="2" applyFont="1" fillId="2" applyFill="1" applyAlignment="1">
      <alignment horizontal="left"/>
    </xf>
    <xf xfId="0" numFmtId="3" applyNumberFormat="1" borderId="2" applyBorder="1" fontId="3" applyFont="1" fillId="2" applyFill="1" applyAlignment="1">
      <alignment horizontal="center"/>
    </xf>
    <xf xfId="0" numFmtId="3" applyNumberFormat="1" borderId="2" applyBorder="1" fontId="1" applyFont="1" fillId="2" applyFill="1" applyAlignment="1">
      <alignment horizontal="center"/>
    </xf>
    <xf xfId="0" numFmtId="3" applyNumberFormat="1" borderId="2" applyBorder="1" fontId="1" applyFont="1" fillId="2" applyFill="1" applyAlignment="1">
      <alignment horizontal="left"/>
    </xf>
    <xf xfId="0" numFmtId="0" borderId="2" applyBorder="1" fontId="1" applyFont="1" fillId="2" applyFill="1" applyAlignment="1">
      <alignment horizontal="left"/>
    </xf>
    <xf xfId="0" numFmtId="0" borderId="1" applyBorder="1" fontId="4" applyFont="1" fillId="0" applyAlignment="1">
      <alignment horizontal="left"/>
    </xf>
    <xf xfId="0" numFmtId="3" applyNumberFormat="1" borderId="1" applyBorder="1" fontId="5" applyFont="1" fillId="0" applyAlignment="1">
      <alignment horizontal="left"/>
    </xf>
    <xf xfId="0" numFmtId="164" applyNumberFormat="1" borderId="1" applyBorder="1" fontId="6" applyFont="1" fillId="0" applyAlignment="1">
      <alignment horizontal="left"/>
    </xf>
    <xf xfId="0" numFmtId="14" applyNumberFormat="1" borderId="1" applyBorder="1" fontId="7" applyFont="1" fillId="0" applyAlignment="1">
      <alignment horizontal="center"/>
    </xf>
    <xf xfId="0" numFmtId="3" applyNumberFormat="1" borderId="1" applyBorder="1" fontId="6" applyFont="1" fillId="0" applyAlignment="1">
      <alignment horizontal="left"/>
    </xf>
    <xf xfId="0" numFmtId="0" borderId="1" applyBorder="1" fontId="6" applyFont="1" fillId="0" applyAlignment="1">
      <alignment horizontal="left"/>
    </xf>
    <xf xfId="0" numFmtId="3" applyNumberFormat="1" borderId="1" applyBorder="1" fontId="7" applyFont="1" fillId="0" applyAlignment="1">
      <alignment horizontal="left"/>
    </xf>
    <xf xfId="0" numFmtId="3" applyNumberFormat="1" borderId="1" applyBorder="1" fontId="8" applyFont="1" fillId="0" applyAlignment="1">
      <alignment horizontal="left"/>
    </xf>
    <xf xfId="0" numFmtId="0" borderId="1" applyBorder="1" fontId="9" applyFont="1" fillId="0" applyAlignment="1">
      <alignment horizontal="left"/>
    </xf>
    <xf xfId="0" numFmtId="14" applyNumberFormat="1" borderId="1" applyBorder="1" fontId="6" applyFont="1" fillId="0" applyAlignment="1">
      <alignment horizontal="center"/>
    </xf>
    <xf xfId="0" numFmtId="3" applyNumberFormat="1" borderId="1" applyBorder="1" fontId="6" applyFont="1" fillId="0" applyAlignment="1">
      <alignment horizontal="right"/>
    </xf>
    <xf xfId="0" numFmtId="3" applyNumberFormat="1" borderId="2" applyBorder="1" fontId="10" applyFont="1" fillId="3" applyFill="1" applyAlignment="1">
      <alignment horizontal="center"/>
    </xf>
    <xf xfId="0" numFmtId="3" applyNumberFormat="1" borderId="2" applyBorder="1" fontId="10" applyFont="1" fillId="4" applyFill="1" applyAlignment="1">
      <alignment horizontal="center"/>
    </xf>
    <xf xfId="0" numFmtId="3" applyNumberFormat="1" borderId="2" applyBorder="1" fontId="10" applyFont="1" fillId="5" applyFill="1" applyAlignment="1">
      <alignment horizontal="center"/>
    </xf>
    <xf xfId="0" numFmtId="3" applyNumberFormat="1" borderId="2" applyBorder="1" fontId="10" applyFont="1" fillId="6" applyFill="1" applyAlignment="1">
      <alignment horizontal="center"/>
    </xf>
    <xf xfId="0" numFmtId="3" applyNumberFormat="1" borderId="2" applyBorder="1" fontId="11" applyFont="1" fillId="7" applyFill="1" applyAlignment="1">
      <alignment horizontal="center"/>
    </xf>
    <xf xfId="0" numFmtId="14" applyNumberFormat="1" borderId="1" applyBorder="1" fontId="6" applyFont="1" fillId="0" applyAlignment="1">
      <alignment horizontal="left"/>
    </xf>
    <xf xfId="0" numFmtId="3" applyNumberFormat="1" borderId="3" applyBorder="1" fontId="9" applyFont="1" fillId="0" applyAlignment="1">
      <alignment horizontal="left"/>
    </xf>
    <xf xfId="0" numFmtId="3" applyNumberFormat="1" borderId="3" applyBorder="1" fontId="12" applyFont="1" fillId="0" applyAlignment="1">
      <alignment horizontal="left"/>
    </xf>
    <xf xfId="0" numFmtId="3" applyNumberFormat="1" borderId="3" applyBorder="1" fontId="13" applyFont="1" fillId="0" applyAlignment="1">
      <alignment horizontal="left"/>
    </xf>
    <xf xfId="0" numFmtId="0" borderId="4" applyBorder="1" fontId="6" applyFont="1" fillId="0" applyAlignment="1">
      <alignment horizontal="left"/>
    </xf>
    <xf xfId="0" numFmtId="3" applyNumberFormat="1" borderId="5" applyBorder="1" fontId="14" applyFont="1" fillId="8" applyFill="1" applyAlignment="1">
      <alignment horizontal="center"/>
    </xf>
    <xf xfId="0" numFmtId="3" applyNumberFormat="1" borderId="6" applyBorder="1" fontId="14" applyFont="1" fillId="8" applyFill="1" applyAlignment="1">
      <alignment horizontal="center"/>
    </xf>
    <xf xfId="0" numFmtId="3" applyNumberFormat="1" borderId="7" applyBorder="1" fontId="14" applyFont="1" fillId="8" applyFill="1" applyAlignment="1">
      <alignment horizontal="center"/>
    </xf>
    <xf xfId="0" numFmtId="3" applyNumberFormat="1" borderId="8" applyBorder="1" fontId="14" applyFont="1" fillId="8" applyFill="1" applyAlignment="1">
      <alignment horizontal="center"/>
    </xf>
    <xf xfId="0" numFmtId="3" applyNumberFormat="1" borderId="2" applyBorder="1" fontId="14" applyFont="1" fillId="8" applyFill="1" applyAlignment="1">
      <alignment horizontal="center"/>
    </xf>
    <xf xfId="0" numFmtId="3" applyNumberFormat="1" borderId="9" applyBorder="1" fontId="14" applyFont="1" fillId="8" applyFill="1" applyAlignment="1">
      <alignment horizontal="center"/>
    </xf>
    <xf xfId="0" numFmtId="3" applyNumberFormat="1" borderId="10" applyBorder="1" fontId="14" applyFont="1" fillId="8" applyFill="1" applyAlignment="1">
      <alignment horizontal="center"/>
    </xf>
    <xf xfId="0" numFmtId="3" applyNumberFormat="1" borderId="11" applyBorder="1" fontId="14" applyFont="1" fillId="8" applyFill="1" applyAlignment="1">
      <alignment horizontal="center"/>
    </xf>
    <xf xfId="0" numFmtId="0" borderId="2" applyBorder="1" fontId="15" applyFont="1" fillId="2" applyFill="1" applyAlignment="1">
      <alignment horizontal="left"/>
    </xf>
    <xf xfId="0" numFmtId="3" applyNumberFormat="1" borderId="2" applyBorder="1" fontId="15" applyFont="1" fillId="2" applyFill="1" applyAlignment="1">
      <alignment horizontal="center" wrapText="1"/>
    </xf>
    <xf xfId="0" numFmtId="164" applyNumberFormat="1" borderId="2" applyBorder="1" fontId="15" applyFont="1" fillId="2" applyFill="1" applyAlignment="1">
      <alignment horizontal="center" wrapText="1"/>
    </xf>
    <xf xfId="0" numFmtId="14" applyNumberFormat="1" borderId="2" applyBorder="1" fontId="15" applyFont="1" fillId="2" applyFill="1" applyAlignment="1">
      <alignment horizontal="center" wrapText="1"/>
    </xf>
    <xf xfId="0" numFmtId="0" borderId="4" applyBorder="1" fontId="16" applyFont="1" fillId="0" applyAlignment="1">
      <alignment horizontal="center" wrapText="1"/>
    </xf>
    <xf xfId="0" numFmtId="3" applyNumberFormat="1" borderId="12" applyBorder="1" fontId="14" applyFont="1" fillId="8" applyFill="1" applyAlignment="1">
      <alignment horizontal="center"/>
    </xf>
    <xf xfId="0" numFmtId="0" borderId="1" applyBorder="1" fontId="8" applyFont="1" fillId="0" applyAlignment="1">
      <alignment horizontal="left" wrapText="1"/>
    </xf>
    <xf xfId="0" numFmtId="164" applyNumberFormat="1" borderId="1" applyBorder="1" fontId="8" applyFont="1" fillId="0" applyAlignment="1">
      <alignment horizontal="center"/>
    </xf>
    <xf xfId="0" numFmtId="14" applyNumberFormat="1" borderId="1" applyBorder="1" fontId="8" applyFont="1" fillId="0" applyAlignment="1">
      <alignment horizontal="center"/>
    </xf>
    <xf xfId="0" numFmtId="3" applyNumberFormat="1" borderId="1" applyBorder="1" fontId="8" applyFont="1" fillId="0" applyAlignment="1">
      <alignment horizontal="center"/>
    </xf>
    <xf xfId="0" numFmtId="3" applyNumberFormat="1" borderId="13" applyBorder="1" fontId="8" applyFont="1" fillId="0" applyAlignment="1">
      <alignment horizontal="left"/>
    </xf>
    <xf xfId="0" numFmtId="0" borderId="1" applyBorder="1" fontId="17" applyFont="1" fillId="0" applyAlignment="1">
      <alignment horizontal="left" wrapText="1"/>
    </xf>
    <xf xfId="0" numFmtId="3" applyNumberFormat="1" borderId="1" applyBorder="1" fontId="6" applyFont="1" fillId="0" applyAlignment="1">
      <alignment horizontal="center"/>
    </xf>
    <xf xfId="0" numFmtId="164" applyNumberFormat="1" borderId="1" applyBorder="1" fontId="17" applyFont="1" fillId="0" applyAlignment="1">
      <alignment horizontal="center"/>
    </xf>
    <xf xfId="0" numFmtId="0" borderId="1" applyBorder="1" fontId="6" applyFont="1" fillId="0" applyAlignment="1">
      <alignment horizontal="center"/>
    </xf>
    <xf xfId="0" numFmtId="3" applyNumberFormat="1" borderId="14" applyBorder="1" fontId="8" applyFont="1" fillId="0" applyAlignment="1">
      <alignment horizontal="center"/>
    </xf>
    <xf xfId="0" numFmtId="0" borderId="15" applyBorder="1" fontId="8" applyFont="1" fillId="0" applyAlignment="1">
      <alignment horizontal="left"/>
    </xf>
    <xf xfId="0" numFmtId="0" borderId="1" applyBorder="1" fontId="6" applyFont="1" fillId="0" applyAlignment="1">
      <alignment horizontal="left" wrapText="1"/>
    </xf>
    <xf xfId="0" numFmtId="0" borderId="1" applyBorder="1" fontId="1" applyFont="1" fillId="0" applyAlignment="1">
      <alignment horizontal="left"/>
    </xf>
    <xf xfId="0" numFmtId="0" borderId="16" applyBorder="1" fontId="8" applyFont="1" fillId="0" applyAlignment="1">
      <alignment horizontal="left"/>
    </xf>
    <xf xfId="0" numFmtId="3" applyNumberFormat="1" borderId="1" applyBorder="1" fontId="1" applyFont="1" fillId="0" applyAlignment="1">
      <alignment horizontal="center"/>
    </xf>
    <xf xfId="0" numFmtId="0" borderId="1" applyBorder="1" fontId="8" applyFont="1" fillId="0" applyAlignment="1">
      <alignment horizontal="right"/>
    </xf>
    <xf xfId="0" numFmtId="0" borderId="0" fontId="0" fillId="0" applyAlignment="1">
      <alignment horizontal="general"/>
    </xf>
    <xf xfId="0" numFmtId="3" applyNumberFormat="1" borderId="0" fontId="0" fillId="0" applyAlignment="1">
      <alignment horizontal="general"/>
    </xf>
    <xf xfId="0" numFmtId="164" applyNumberFormat="1" borderId="0" fontId="0" fillId="0" applyAlignment="1">
      <alignment horizontal="general"/>
    </xf>
    <xf xfId="0" numFmtId="14" applyNumberFormat="1" borderId="0" fontId="0" fillId="0" applyAlignment="1">
      <alignment horizontal="general"/>
    </xf>
    <xf xfId="0" numFmtId="3" applyNumberFormat="1" borderId="0" fontId="0" fillId="0" applyAlignment="1">
      <alignment horizontal="center"/>
    </xf>
    <xf xfId="0" numFmtId="0" borderId="0" fontId="0" fillId="0" applyAlignment="1">
      <alignment horizontal="right"/>
    </xf>
    <xf xfId="0" numFmtId="0" borderId="1" applyBorder="1" fontId="18" applyFont="1" fillId="0" applyAlignment="1">
      <alignment horizontal="left"/>
    </xf>
    <xf xfId="0" numFmtId="0" borderId="1" applyBorder="1" fontId="19" applyFont="1" fillId="0" applyAlignment="1">
      <alignment horizontal="left"/>
    </xf>
    <xf xfId="0" numFmtId="0" borderId="2" applyBorder="1" fontId="19" applyFont="1" fillId="2" applyFill="1" applyAlignment="1">
      <alignment horizontal="left"/>
    </xf>
    <xf xfId="0" numFmtId="0" borderId="2" applyBorder="1" fontId="20" applyFont="1" fillId="2" applyFill="1" applyAlignment="1">
      <alignment horizontal="left"/>
    </xf>
    <xf xfId="0" numFmtId="0" borderId="2" applyBorder="1" fontId="19" applyFont="1" fillId="9" applyFill="1" applyAlignment="1">
      <alignment horizontal="left"/>
    </xf>
    <xf xfId="0" numFmtId="0" borderId="2" applyBorder="1" fontId="21" applyFont="1" fillId="9" applyFill="1" applyAlignment="1">
      <alignment horizontal="left"/>
    </xf>
    <xf xfId="0" numFmtId="0" borderId="2" applyBorder="1" fontId="4" applyFont="1" fillId="9" applyFill="1" applyAlignment="1">
      <alignment horizontal="left"/>
    </xf>
    <xf xfId="0" numFmtId="0" borderId="2" applyBorder="1" fontId="22" applyFont="1" fillId="9" applyFill="1" applyAlignment="1">
      <alignment horizontal="left" wrapText="1"/>
    </xf>
    <xf xfId="0" numFmtId="0" borderId="1" applyBorder="1" fontId="14" applyFont="1" fillId="0" applyAlignment="1">
      <alignment horizontal="left"/>
    </xf>
    <xf xfId="0" numFmtId="0" borderId="2" applyBorder="1" fontId="14" applyFont="1" fillId="9" applyFill="1" applyAlignment="1">
      <alignment horizontal="left"/>
    </xf>
    <xf xfId="0" numFmtId="0" borderId="2" applyBorder="1" fontId="6" applyFont="1" fillId="9" applyFill="1"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ables/table1.xml><?xml version="1.0" encoding="utf-8"?>
<table xmlns="http://schemas.openxmlformats.org/spreadsheetml/2006/main" ref="B9:F36" displayName="Jalons43524" name="Jalons43524" id="1" totalsRowShown="0">
  <autoFilter ref="B9:F36">
    <filterColumn hiddenButton="1" colId="0"/>
    <filterColumn hiddenButton="1" colId="1"/>
    <filterColumn hiddenButton="1" colId="2"/>
    <filterColumn hiddenButton="1" colId="3"/>
    <filterColumn hiddenButton="1" colId="4"/>
  </autoFilter>
  <tableColumns count="5">
    <tableColumn name="Description du jalon" id="1"/>
    <tableColumn name="Catégorie" id="2"/>
    <tableColumn name="Progression" id="3"/>
    <tableColumn name="Début" id="4"/>
    <tableColumn name="Jours" id="5"/>
  </tableColumns>
  <tableStyleInfo name="TableStyleLight1" showColumnStripes="0" showRowStripes="1" showLastColumn="0" showFirstColumn="1"/>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9"/>
  <sheetViews>
    <sheetView workbookViewId="0"/>
  </sheetViews>
  <sheetFormatPr defaultRowHeight="15" x14ac:dyDescent="0.25"/>
  <cols>
    <col min="1" max="1" style="68" width="4.719285714285714" customWidth="1" bestFit="1"/>
    <col min="2" max="2" style="68" width="2.7192857142857143" customWidth="1" bestFit="1"/>
    <col min="3" max="3" style="68" width="40.71928571428572" customWidth="1" bestFit="1"/>
    <col min="4" max="4" style="68" width="40.71928571428572" customWidth="1" bestFit="1"/>
    <col min="5" max="5" style="68" width="40.71928571428572" customWidth="1" bestFit="1"/>
    <col min="6" max="6" style="68" width="2.7192857142857143" customWidth="1" bestFit="1"/>
    <col min="7" max="7" style="68" width="13.576428571428572" customWidth="1" bestFit="1"/>
    <col min="8" max="8" style="68" width="13.576428571428572" customWidth="1" bestFit="1"/>
    <col min="9" max="9" style="68" width="13.576428571428572" customWidth="1" bestFit="1"/>
    <col min="10" max="10" style="68" width="13.576428571428572" customWidth="1" bestFit="1"/>
    <col min="11" max="11" style="68" width="13.576428571428572" customWidth="1" bestFit="1"/>
    <col min="12" max="12" style="68" width="13.576428571428572" customWidth="1" bestFit="1"/>
    <col min="13" max="13" style="68" width="13.576428571428572" customWidth="1" bestFit="1"/>
  </cols>
  <sheetData>
    <row x14ac:dyDescent="0.25" r="1" customHeight="1" ht="18.75">
      <c r="A1" s="1"/>
      <c r="B1" s="1"/>
      <c r="C1" s="1"/>
      <c r="D1" s="74"/>
      <c r="E1" s="1"/>
      <c r="F1" s="1"/>
      <c r="G1" s="1"/>
      <c r="H1" s="1"/>
      <c r="I1" s="1"/>
      <c r="J1" s="1"/>
      <c r="K1" s="1"/>
      <c r="L1" s="1"/>
      <c r="M1" s="1"/>
    </row>
    <row x14ac:dyDescent="0.25" r="2" customHeight="1" ht="50.1">
      <c r="A2" s="75"/>
      <c r="B2" s="76"/>
      <c r="C2" s="77" t="s">
        <v>43</v>
      </c>
      <c r="D2" s="77"/>
      <c r="E2" s="77"/>
      <c r="F2" s="76"/>
      <c r="G2" s="75"/>
      <c r="H2" s="75"/>
      <c r="I2" s="75"/>
      <c r="J2" s="75"/>
      <c r="K2" s="75"/>
      <c r="L2" s="75"/>
      <c r="M2" s="75"/>
    </row>
    <row x14ac:dyDescent="0.25" r="3" customHeight="1" ht="14.4">
      <c r="A3" s="75"/>
      <c r="B3" s="78"/>
      <c r="C3" s="79"/>
      <c r="D3" s="80"/>
      <c r="E3" s="78"/>
      <c r="F3" s="78"/>
      <c r="G3" s="75"/>
      <c r="H3" s="75"/>
      <c r="I3" s="75"/>
      <c r="J3" s="75"/>
      <c r="K3" s="75"/>
      <c r="L3" s="75"/>
      <c r="M3" s="75"/>
    </row>
    <row x14ac:dyDescent="0.25" r="4" customHeight="1" ht="75">
      <c r="A4" s="75"/>
      <c r="B4" s="78"/>
      <c r="C4" s="81" t="s">
        <v>44</v>
      </c>
      <c r="D4" s="81"/>
      <c r="E4" s="81"/>
      <c r="F4" s="78"/>
      <c r="G4" s="75"/>
      <c r="H4" s="75"/>
      <c r="I4" s="75"/>
      <c r="J4" s="75"/>
      <c r="K4" s="75"/>
      <c r="L4" s="75"/>
      <c r="M4" s="75"/>
    </row>
    <row x14ac:dyDescent="0.25" r="5" customHeight="1" ht="75.75">
      <c r="A5" s="75"/>
      <c r="B5" s="78"/>
      <c r="C5" s="81" t="s">
        <v>45</v>
      </c>
      <c r="D5" s="81"/>
      <c r="E5" s="81"/>
      <c r="F5" s="78"/>
      <c r="G5" s="75"/>
      <c r="H5" s="75"/>
      <c r="I5" s="75"/>
      <c r="J5" s="75"/>
      <c r="K5" s="75"/>
      <c r="L5" s="75"/>
      <c r="M5" s="75"/>
    </row>
    <row x14ac:dyDescent="0.25" r="6" customHeight="1" ht="18.75">
      <c r="A6" s="82"/>
      <c r="B6" s="83"/>
      <c r="C6" s="83"/>
      <c r="D6" s="84"/>
      <c r="E6" s="83"/>
      <c r="F6" s="83"/>
      <c r="G6" s="1"/>
      <c r="H6" s="1"/>
      <c r="I6" s="1"/>
      <c r="J6" s="1"/>
      <c r="K6" s="1"/>
      <c r="L6" s="1"/>
      <c r="M6" s="1"/>
    </row>
    <row x14ac:dyDescent="0.25" r="7" customHeight="1" ht="50.1">
      <c r="A7" s="82"/>
      <c r="B7" s="82"/>
      <c r="C7" s="1"/>
      <c r="D7" s="1"/>
      <c r="E7" s="1"/>
      <c r="F7" s="1"/>
      <c r="G7" s="1"/>
      <c r="H7" s="1"/>
      <c r="I7" s="1"/>
      <c r="J7" s="1"/>
      <c r="K7" s="1"/>
      <c r="L7" s="1"/>
      <c r="M7" s="1"/>
    </row>
    <row x14ac:dyDescent="0.25" r="8" customHeight="1" ht="14.4">
      <c r="A8" s="82"/>
      <c r="B8" s="82"/>
      <c r="C8" s="1"/>
      <c r="D8" s="1"/>
      <c r="E8" s="1"/>
      <c r="F8" s="1"/>
      <c r="G8" s="1"/>
      <c r="H8" s="1"/>
      <c r="I8" s="1"/>
      <c r="J8" s="1"/>
      <c r="K8" s="1"/>
      <c r="L8" s="1"/>
      <c r="M8" s="1"/>
    </row>
    <row x14ac:dyDescent="0.25" r="9" customHeight="1" ht="90">
      <c r="A9" s="1"/>
      <c r="B9" s="1"/>
      <c r="C9" s="82"/>
      <c r="D9" s="82"/>
      <c r="E9" s="82"/>
      <c r="F9" s="82"/>
      <c r="G9" s="82"/>
      <c r="H9" s="82"/>
      <c r="I9" s="1"/>
      <c r="J9" s="1"/>
      <c r="K9" s="1"/>
      <c r="L9" s="1"/>
      <c r="M9" s="1"/>
    </row>
    <row x14ac:dyDescent="0.25" r="10" customHeight="1" ht="14.4">
      <c r="A10" s="82"/>
      <c r="B10" s="82"/>
      <c r="C10" s="1"/>
      <c r="D10" s="1"/>
      <c r="E10" s="1"/>
      <c r="F10" s="1"/>
      <c r="G10" s="1"/>
      <c r="H10" s="1"/>
      <c r="I10" s="1"/>
      <c r="J10" s="1"/>
      <c r="K10" s="1"/>
      <c r="L10" s="1"/>
      <c r="M10" s="1"/>
    </row>
    <row x14ac:dyDescent="0.25" r="11" customHeight="1" ht="18.75">
      <c r="A11" s="82"/>
      <c r="B11" s="82"/>
      <c r="C11" s="1"/>
      <c r="D11" s="82"/>
      <c r="E11" s="1"/>
      <c r="F11" s="1"/>
      <c r="G11" s="1"/>
      <c r="H11" s="1"/>
      <c r="I11" s="1"/>
      <c r="J11" s="1"/>
      <c r="K11" s="1"/>
      <c r="L11" s="1"/>
      <c r="M11" s="1"/>
    </row>
    <row x14ac:dyDescent="0.25" r="12" customHeight="1" ht="18.75">
      <c r="A12" s="82"/>
      <c r="B12" s="82"/>
      <c r="C12" s="1"/>
      <c r="D12" s="82"/>
      <c r="E12" s="1"/>
      <c r="F12" s="1"/>
      <c r="G12" s="1"/>
      <c r="H12" s="1"/>
      <c r="I12" s="1"/>
      <c r="J12" s="1"/>
      <c r="K12" s="1"/>
      <c r="L12" s="1"/>
      <c r="M12" s="1"/>
    </row>
    <row x14ac:dyDescent="0.25" r="13" customHeight="1" ht="18.75">
      <c r="A13" s="82"/>
      <c r="B13" s="82"/>
      <c r="C13" s="1"/>
      <c r="D13" s="82"/>
      <c r="E13" s="1"/>
      <c r="F13" s="1"/>
      <c r="G13" s="1"/>
      <c r="H13" s="1"/>
      <c r="I13" s="1"/>
      <c r="J13" s="1"/>
      <c r="K13" s="1"/>
      <c r="L13" s="1"/>
      <c r="M13" s="1"/>
    </row>
    <row x14ac:dyDescent="0.25" r="14" customHeight="1" ht="18.75">
      <c r="A14" s="82"/>
      <c r="B14" s="82"/>
      <c r="C14" s="1"/>
      <c r="D14" s="82"/>
      <c r="E14" s="1"/>
      <c r="F14" s="1"/>
      <c r="G14" s="1"/>
      <c r="H14" s="1"/>
      <c r="I14" s="1"/>
      <c r="J14" s="1"/>
      <c r="K14" s="1"/>
      <c r="L14" s="1"/>
      <c r="M14" s="1"/>
    </row>
    <row x14ac:dyDescent="0.25" r="15" customHeight="1" ht="18.75">
      <c r="A15" s="82"/>
      <c r="B15" s="82"/>
      <c r="C15" s="1"/>
      <c r="D15" s="82"/>
      <c r="E15" s="1"/>
      <c r="F15" s="1"/>
      <c r="G15" s="1"/>
      <c r="H15" s="1"/>
      <c r="I15" s="1"/>
      <c r="J15" s="1"/>
      <c r="K15" s="1"/>
      <c r="L15" s="1"/>
      <c r="M15" s="1"/>
    </row>
    <row x14ac:dyDescent="0.25" r="16" customHeight="1" ht="18.75">
      <c r="A16" s="82"/>
      <c r="B16" s="82"/>
      <c r="C16" s="1"/>
      <c r="D16" s="82"/>
      <c r="E16" s="1"/>
      <c r="F16" s="1"/>
      <c r="G16" s="1"/>
      <c r="H16" s="1"/>
      <c r="I16" s="1"/>
      <c r="J16" s="1"/>
      <c r="K16" s="1"/>
      <c r="L16" s="1"/>
      <c r="M16" s="1"/>
    </row>
    <row x14ac:dyDescent="0.25" r="17" customHeight="1" ht="18.75">
      <c r="A17" s="82"/>
      <c r="B17" s="82"/>
      <c r="C17" s="1"/>
      <c r="D17" s="82"/>
      <c r="E17" s="1"/>
      <c r="F17" s="1"/>
      <c r="G17" s="1"/>
      <c r="H17" s="1"/>
      <c r="I17" s="1"/>
      <c r="J17" s="1"/>
      <c r="K17" s="1"/>
      <c r="L17" s="1"/>
      <c r="M17" s="1"/>
    </row>
    <row x14ac:dyDescent="0.25" r="18" customHeight="1" ht="18.75">
      <c r="A18" s="82"/>
      <c r="B18" s="82"/>
      <c r="C18" s="1"/>
      <c r="D18" s="82"/>
      <c r="E18" s="1"/>
      <c r="F18" s="1"/>
      <c r="G18" s="1"/>
      <c r="H18" s="1"/>
      <c r="I18" s="1"/>
      <c r="J18" s="1"/>
      <c r="K18" s="1"/>
      <c r="L18" s="1"/>
      <c r="M18" s="1"/>
    </row>
    <row x14ac:dyDescent="0.25" r="19" customHeight="1" ht="18.75">
      <c r="A19" s="82"/>
      <c r="B19" s="82"/>
      <c r="C19" s="1"/>
      <c r="D19" s="82"/>
      <c r="E19" s="1"/>
      <c r="F19" s="1"/>
      <c r="G19" s="1"/>
      <c r="H19" s="1"/>
      <c r="I19" s="1"/>
      <c r="J19" s="1"/>
      <c r="K19" s="1"/>
      <c r="L19" s="1"/>
      <c r="M19" s="1"/>
    </row>
  </sheetData>
  <mergeCells count="3">
    <mergeCell ref="C2:E2"/>
    <mergeCell ref="C4:E4"/>
    <mergeCell ref="C5:E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O37"/>
  <sheetViews>
    <sheetView workbookViewId="0" tabSelected="1"/>
  </sheetViews>
  <sheetFormatPr defaultRowHeight="15" x14ac:dyDescent="0.25"/>
  <cols>
    <col min="1" max="1" style="68" width="4.719285714285714" customWidth="1" bestFit="1"/>
    <col min="2" max="2" style="68" width="33.86214285714286" customWidth="1" bestFit="1"/>
    <col min="3" max="3" style="69" width="14.719285714285713" customWidth="1" bestFit="1"/>
    <col min="4" max="4" style="70" width="15.719285714285713" customWidth="1" bestFit="1"/>
    <col min="5" max="5" style="71" width="10.43357142857143" customWidth="1" bestFit="1"/>
    <col min="6" max="6" style="72" width="10.43357142857143" customWidth="1" bestFit="1"/>
    <col min="7" max="7" style="73" width="2.7192857142857143" customWidth="1" bestFit="1"/>
    <col min="8" max="8" style="69" width="3.5764285714285715" customWidth="1" bestFit="1"/>
    <col min="9" max="9" style="69" width="3.5764285714285715" customWidth="1" bestFit="1"/>
    <col min="10" max="10" style="69" width="3.5764285714285715" customWidth="1" bestFit="1"/>
    <col min="11" max="11" style="69" width="3.5764285714285715" customWidth="1" bestFit="1"/>
    <col min="12" max="12" style="69" width="3.5764285714285715" customWidth="1" bestFit="1"/>
    <col min="13" max="13" style="69" width="3.5764285714285715" customWidth="1" bestFit="1"/>
    <col min="14" max="14" style="69" width="3.5764285714285715" customWidth="1" bestFit="1"/>
    <col min="15" max="15" style="69" width="3.5764285714285715" customWidth="1" bestFit="1"/>
    <col min="16" max="16" style="69" width="3.5764285714285715" customWidth="1" bestFit="1"/>
    <col min="17" max="17" style="69" width="3.5764285714285715" customWidth="1" bestFit="1"/>
    <col min="18" max="18" style="69" width="3.5764285714285715" customWidth="1" bestFit="1"/>
    <col min="19" max="19" style="69" width="3.5764285714285715" customWidth="1" bestFit="1"/>
    <col min="20" max="20" style="69" width="3.5764285714285715" customWidth="1" bestFit="1"/>
    <col min="21" max="21" style="69" width="3.5764285714285715" customWidth="1" bestFit="1"/>
    <col min="22" max="22" style="69" width="3.5764285714285715" customWidth="1" bestFit="1"/>
    <col min="23" max="23" style="69" width="3.5764285714285715" customWidth="1" bestFit="1"/>
    <col min="24" max="24" style="69" width="3.5764285714285715" customWidth="1" bestFit="1"/>
    <col min="25" max="25" style="69" width="3.5764285714285715" customWidth="1" bestFit="1"/>
    <col min="26" max="26" style="69" width="3.5764285714285715" customWidth="1" bestFit="1"/>
    <col min="27" max="27" style="69" width="3.5764285714285715" customWidth="1" bestFit="1"/>
    <col min="28" max="28" style="69" width="3.5764285714285715" customWidth="1" bestFit="1"/>
    <col min="29" max="29" style="69" width="3.5764285714285715" customWidth="1" bestFit="1"/>
    <col min="30" max="30" style="69" width="3.5764285714285715" customWidth="1" bestFit="1"/>
    <col min="31" max="31" style="69" width="3.5764285714285715" customWidth="1" bestFit="1"/>
    <col min="32" max="32" style="69" width="3.5764285714285715" customWidth="1" bestFit="1"/>
    <col min="33" max="33" style="69" width="3.5764285714285715" customWidth="1" bestFit="1"/>
    <col min="34" max="34" style="69" width="3.5764285714285715" customWidth="1" bestFit="1"/>
    <col min="35" max="35" style="69" width="3.5764285714285715" customWidth="1" bestFit="1"/>
    <col min="36" max="36" style="69" width="3.5764285714285715" customWidth="1" bestFit="1"/>
    <col min="37" max="37" style="69" width="3.5764285714285715" customWidth="1" bestFit="1"/>
    <col min="38" max="38" style="69" width="3.5764285714285715" customWidth="1" bestFit="1"/>
    <col min="39" max="39" style="69" width="3.5764285714285715" customWidth="1" bestFit="1"/>
    <col min="40" max="40" style="69" width="3.5764285714285715" customWidth="1" bestFit="1"/>
    <col min="41" max="41" style="69" width="3.5764285714285715" customWidth="1" bestFit="1"/>
    <col min="42" max="42" style="69" width="3.5764285714285715" customWidth="1" bestFit="1"/>
    <col min="43" max="43" style="69" width="3.5764285714285715" customWidth="1" bestFit="1"/>
    <col min="44" max="44" style="69" width="3.5764285714285715" customWidth="1" bestFit="1"/>
    <col min="45" max="45" style="69" width="3.5764285714285715" customWidth="1" bestFit="1"/>
    <col min="46" max="46" style="69" width="3.5764285714285715" customWidth="1" bestFit="1"/>
    <col min="47" max="47" style="69" width="3.5764285714285715" customWidth="1" bestFit="1"/>
    <col min="48" max="48" style="69" width="3.5764285714285715" customWidth="1" bestFit="1"/>
    <col min="49" max="49" style="69" width="3.5764285714285715" customWidth="1" bestFit="1"/>
    <col min="50" max="50" style="69" width="3.5764285714285715" customWidth="1" bestFit="1"/>
    <col min="51" max="51" style="69" width="3.5764285714285715" customWidth="1" bestFit="1"/>
    <col min="52" max="52" style="69" width="3.5764285714285715" customWidth="1" bestFit="1"/>
    <col min="53" max="53" style="69" width="3.5764285714285715" customWidth="1" bestFit="1"/>
    <col min="54" max="54" style="69" width="3.5764285714285715" customWidth="1" bestFit="1"/>
    <col min="55" max="55" style="69" width="3.5764285714285715" customWidth="1" bestFit="1"/>
    <col min="56" max="56" style="69" width="3.5764285714285715" customWidth="1" bestFit="1"/>
    <col min="57" max="57" style="69" width="3.5764285714285715" customWidth="1" bestFit="1"/>
    <col min="58" max="58" style="69" width="3.5764285714285715" customWidth="1" bestFit="1"/>
    <col min="59" max="59" style="69" width="3.5764285714285715" customWidth="1" bestFit="1"/>
    <col min="60" max="60" style="69" width="3.5764285714285715" customWidth="1" bestFit="1"/>
    <col min="61" max="61" style="69" width="3.5764285714285715" customWidth="1" bestFit="1"/>
    <col min="62" max="62" style="69" width="3.5764285714285715" customWidth="1" bestFit="1"/>
    <col min="63" max="63" style="69" width="3.5764285714285715" customWidth="1" bestFit="1"/>
    <col min="64" max="64" style="68" width="2.7192857142857143" customWidth="1" bestFit="1"/>
    <col min="65" max="65" style="68" width="13.576428571428572" customWidth="1" bestFit="1"/>
    <col min="66" max="66" style="68" width="13.576428571428572" customWidth="1" bestFit="1"/>
    <col min="67" max="67" style="68" width="13.576428571428572" customWidth="1" bestFit="1"/>
  </cols>
  <sheetData>
    <row x14ac:dyDescent="0.25" r="1" customHeight="1" ht="18.75">
      <c r="A1" s="1"/>
      <c r="B1" s="1"/>
      <c r="C1" s="2"/>
      <c r="D1" s="3"/>
      <c r="E1" s="4"/>
      <c r="F1" s="5"/>
      <c r="G1" s="6"/>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1"/>
      <c r="BM1" s="1"/>
      <c r="BN1" s="1"/>
      <c r="BO1" s="1"/>
    </row>
    <row x14ac:dyDescent="0.25" r="2" customHeight="1" ht="70.5">
      <c r="A2" s="7"/>
      <c r="B2" s="8" t="s">
        <v>0</v>
      </c>
      <c r="C2" s="9"/>
      <c r="D2" s="10"/>
      <c r="E2" s="11"/>
      <c r="F2" s="9"/>
      <c r="G2" s="12"/>
      <c r="H2" s="13"/>
      <c r="I2" s="13"/>
      <c r="J2" s="13"/>
      <c r="K2" s="13"/>
      <c r="L2" s="13"/>
      <c r="M2" s="13"/>
      <c r="N2" s="14"/>
      <c r="O2" s="14"/>
      <c r="P2" s="14"/>
      <c r="Q2" s="14"/>
      <c r="R2" s="14"/>
      <c r="S2" s="14"/>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6"/>
      <c r="BM2" s="1"/>
      <c r="BN2" s="1"/>
      <c r="BO2" s="1"/>
    </row>
    <row x14ac:dyDescent="0.25" r="3" customHeight="1" ht="32.25">
      <c r="A3" s="7"/>
      <c r="B3" s="17"/>
      <c r="C3" s="18"/>
      <c r="D3" s="19"/>
      <c r="E3" s="20"/>
      <c r="F3" s="21"/>
      <c r="G3" s="22"/>
      <c r="H3" s="23"/>
      <c r="I3" s="24"/>
      <c r="J3" s="24"/>
      <c r="K3" s="24"/>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1"/>
      <c r="BM3" s="1"/>
      <c r="BN3" s="1"/>
      <c r="BO3" s="1"/>
    </row>
    <row x14ac:dyDescent="0.25" r="4" customHeight="1" ht="25.5">
      <c r="A4" s="7"/>
      <c r="B4" s="25" t="s">
        <v>1</v>
      </c>
      <c r="C4" s="23"/>
      <c r="D4" s="19"/>
      <c r="E4" s="26"/>
      <c r="F4" s="27" t="s">
        <v>2</v>
      </c>
      <c r="G4" s="22"/>
      <c r="H4" s="28" t="s">
        <v>3</v>
      </c>
      <c r="I4" s="28"/>
      <c r="J4" s="28"/>
      <c r="K4" s="28"/>
      <c r="L4" s="28"/>
      <c r="M4" s="2"/>
      <c r="N4" s="29" t="s">
        <v>4</v>
      </c>
      <c r="O4" s="29"/>
      <c r="P4" s="29"/>
      <c r="Q4" s="29"/>
      <c r="R4" s="29"/>
      <c r="S4" s="2"/>
      <c r="T4" s="30" t="s">
        <v>5</v>
      </c>
      <c r="U4" s="30"/>
      <c r="V4" s="30"/>
      <c r="W4" s="30"/>
      <c r="X4" s="30"/>
      <c r="Y4" s="2"/>
      <c r="Z4" s="31" t="s">
        <v>6</v>
      </c>
      <c r="AA4" s="31"/>
      <c r="AB4" s="31"/>
      <c r="AC4" s="31"/>
      <c r="AD4" s="31"/>
      <c r="AE4" s="2"/>
      <c r="AF4" s="32" t="s">
        <v>7</v>
      </c>
      <c r="AG4" s="32"/>
      <c r="AH4" s="32"/>
      <c r="AI4" s="32"/>
      <c r="AJ4" s="3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1"/>
      <c r="BM4" s="1"/>
      <c r="BN4" s="1"/>
      <c r="BO4" s="1"/>
    </row>
    <row x14ac:dyDescent="0.25" r="5" customHeight="1" ht="25.5">
      <c r="A5" s="7"/>
      <c r="B5" s="25" t="s">
        <v>8</v>
      </c>
      <c r="C5" s="21"/>
      <c r="D5" s="19"/>
      <c r="E5" s="26"/>
      <c r="F5" s="21"/>
      <c r="G5" s="2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1"/>
      <c r="BM5" s="1"/>
      <c r="BN5" s="1"/>
      <c r="BO5" s="1"/>
    </row>
    <row x14ac:dyDescent="0.25" r="6" customHeight="1" ht="24.75">
      <c r="A6" s="7"/>
      <c r="B6" s="22" t="s">
        <v>9</v>
      </c>
      <c r="C6" s="33">
        <f>DATE(2026,7,6)</f>
        <v>25569.125</v>
      </c>
      <c r="D6" s="19"/>
      <c r="E6" s="26"/>
      <c r="F6" s="21"/>
      <c r="G6" s="22"/>
      <c r="H6" s="34">
        <f>TEXT(H7,"mmmm")</f>
      </c>
      <c r="I6" s="34"/>
      <c r="J6" s="34"/>
      <c r="K6" s="34"/>
      <c r="L6" s="34"/>
      <c r="M6" s="34"/>
      <c r="N6" s="34"/>
      <c r="O6" s="34">
        <f>IF(TEXT(O7,"mmmm")=H6,"",TEXT(O7,"mmmm"))</f>
      </c>
      <c r="P6" s="34"/>
      <c r="Q6" s="34"/>
      <c r="R6" s="34"/>
      <c r="S6" s="34"/>
      <c r="T6" s="34"/>
      <c r="U6" s="34"/>
      <c r="V6" s="34">
        <f>IF(OR(TEXT(V7,"mmmm")=O6,TEXT(V7,"mmmm")=H6),"",TEXT(V7,"mmmm"))</f>
      </c>
      <c r="W6" s="34"/>
      <c r="X6" s="34"/>
      <c r="Y6" s="34"/>
      <c r="Z6" s="34"/>
      <c r="AA6" s="34"/>
      <c r="AB6" s="34"/>
      <c r="AC6" s="34">
        <f>IF(OR(TEXT(AC7,"mmmm")=V6,TEXT(AC7,"mmmm")=O6,TEXT(AC7,"mmmm")=H6),"",TEXT(AC7,"mmmm"))</f>
      </c>
      <c r="AD6" s="34"/>
      <c r="AE6" s="34"/>
      <c r="AF6" s="34"/>
      <c r="AG6" s="34"/>
      <c r="AH6" s="34"/>
      <c r="AI6" s="34"/>
      <c r="AJ6" s="34">
        <f>IF(OR(TEXT(AJ7,"mmmm")=AC6,TEXT(AJ7,"mmmm")=V6,TEXT(AJ7,"mmmm")=O6,TEXT(AJ7,"mmmm")=H6),"",TEXT(AJ7,"mmmm"))</f>
      </c>
      <c r="AK6" s="34"/>
      <c r="AL6" s="34"/>
      <c r="AM6" s="34"/>
      <c r="AN6" s="34"/>
      <c r="AO6" s="34"/>
      <c r="AP6" s="34"/>
      <c r="AQ6" s="34">
        <f>IF(OR(TEXT(AQ7,"mmmm")=AJ6,TEXT(AQ7,"mmmm")=AC6,TEXT(AQ7,"mmmm")=V6,TEXT(AQ7,"mmmm")=O6),"",TEXT(AQ7,"mmmm"))</f>
      </c>
      <c r="AR6" s="34"/>
      <c r="AS6" s="34"/>
      <c r="AT6" s="34"/>
      <c r="AU6" s="34"/>
      <c r="AV6" s="34"/>
      <c r="AW6" s="35"/>
      <c r="AX6" s="35">
        <f>IF(OR(TEXT(AX7,"mmmm")=AQ6,TEXT(AX7,"mmmm")=AJ6,TEXT(AX7,"mmmm")=AC6,TEXT(AX7,"mmmm")=V6),"",TEXT(AX7,"mmmm"))</f>
      </c>
      <c r="AY6" s="35"/>
      <c r="AZ6" s="35"/>
      <c r="BA6" s="36"/>
      <c r="BB6" s="36"/>
      <c r="BC6" s="36"/>
      <c r="BD6" s="36"/>
      <c r="BE6" s="36">
        <f>IF(OR(TEXT(BE7,"mmmm")=AX6,TEXT(BE7,"mmmm")=AQ6,TEXT(BE7,"mmmm")=AJ6,TEXT(BE7,"mmmm")=AC6),"",TEXT(BE7,"mmmm"))</f>
      </c>
      <c r="BF6" s="36"/>
      <c r="BG6" s="36"/>
      <c r="BH6" s="36"/>
      <c r="BI6" s="36"/>
      <c r="BJ6" s="36"/>
      <c r="BK6" s="36"/>
      <c r="BL6" s="1"/>
      <c r="BM6" s="1"/>
      <c r="BN6" s="1"/>
      <c r="BO6" s="1"/>
    </row>
    <row x14ac:dyDescent="0.25" r="7" customHeight="1" ht="19.5">
      <c r="A7" s="7"/>
      <c r="B7" s="22" t="s">
        <v>10</v>
      </c>
      <c r="C7" s="21">
        <v>1</v>
      </c>
      <c r="D7" s="19"/>
      <c r="E7" s="33"/>
      <c r="F7" s="21"/>
      <c r="G7" s="37"/>
      <c r="H7" s="38">
        <f>IFERROR(Début_Projet+Incrément_de_défilement,TODAY())</f>
      </c>
      <c r="I7" s="39">
        <f>H7+1</f>
      </c>
      <c r="J7" s="39">
        <f>I7+1</f>
      </c>
      <c r="K7" s="39">
        <f>J7+1</f>
      </c>
      <c r="L7" s="39">
        <f>K7+1</f>
      </c>
      <c r="M7" s="39">
        <f>L7+1</f>
      </c>
      <c r="N7" s="40">
        <f>M7+1</f>
      </c>
      <c r="O7" s="39">
        <f>N7+1</f>
      </c>
      <c r="P7" s="39">
        <f>O7+1</f>
      </c>
      <c r="Q7" s="39">
        <f>P7+1</f>
      </c>
      <c r="R7" s="39">
        <f>Q7+1</f>
      </c>
      <c r="S7" s="39">
        <f>R7+1</f>
      </c>
      <c r="T7" s="39">
        <f>S7+1</f>
      </c>
      <c r="U7" s="40">
        <f>T7+1</f>
      </c>
      <c r="V7" s="39">
        <f>U7+1</f>
      </c>
      <c r="W7" s="39">
        <f>V7+1</f>
      </c>
      <c r="X7" s="39">
        <f>W7+1</f>
      </c>
      <c r="Y7" s="39">
        <f>X7+1</f>
      </c>
      <c r="Z7" s="39">
        <f>Y7+1</f>
      </c>
      <c r="AA7" s="39">
        <f>Z7+1</f>
      </c>
      <c r="AB7" s="40">
        <f>AA7+1</f>
      </c>
      <c r="AC7" s="39">
        <f>AB7+1</f>
      </c>
      <c r="AD7" s="39">
        <f>AC7+1</f>
      </c>
      <c r="AE7" s="39">
        <f>AD7+1</f>
      </c>
      <c r="AF7" s="39">
        <f>AE7+1</f>
      </c>
      <c r="AG7" s="39">
        <f>AF7+1</f>
      </c>
      <c r="AH7" s="39">
        <f>AG7+1</f>
      </c>
      <c r="AI7" s="40">
        <f>AH7+1</f>
      </c>
      <c r="AJ7" s="39">
        <f>AI7+1</f>
      </c>
      <c r="AK7" s="39">
        <f>AJ7+1</f>
      </c>
      <c r="AL7" s="39">
        <f>AK7+1</f>
      </c>
      <c r="AM7" s="39">
        <f>AL7+1</f>
      </c>
      <c r="AN7" s="39">
        <f>AM7+1</f>
      </c>
      <c r="AO7" s="39">
        <f>AN7+1</f>
      </c>
      <c r="AP7" s="40">
        <f>AO7+1</f>
      </c>
      <c r="AQ7" s="39">
        <f>AP7+1</f>
      </c>
      <c r="AR7" s="39">
        <f>AQ7+1</f>
      </c>
      <c r="AS7" s="39">
        <f>AR7+1</f>
      </c>
      <c r="AT7" s="39">
        <f>AS7+1</f>
      </c>
      <c r="AU7" s="39">
        <f>AT7+1</f>
      </c>
      <c r="AV7" s="39">
        <f>AU7+1</f>
      </c>
      <c r="AW7" s="40">
        <f>AV7+1</f>
      </c>
      <c r="AX7" s="39">
        <f>AW7+1</f>
      </c>
      <c r="AY7" s="39">
        <f>AX7+1</f>
      </c>
      <c r="AZ7" s="39">
        <f>AY7+1</f>
      </c>
      <c r="BA7" s="39">
        <f>AZ7+1</f>
      </c>
      <c r="BB7" s="39">
        <f>BA7+1</f>
      </c>
      <c r="BC7" s="39">
        <f>BB7+1</f>
      </c>
      <c r="BD7" s="40">
        <f>BC7+1</f>
      </c>
      <c r="BE7" s="39">
        <f>BD7+1</f>
      </c>
      <c r="BF7" s="39">
        <f>BE7+1</f>
      </c>
      <c r="BG7" s="39">
        <f>BF7+1</f>
      </c>
      <c r="BH7" s="39">
        <f>BG7+1</f>
      </c>
      <c r="BI7" s="39">
        <f>BH7+1</f>
      </c>
      <c r="BJ7" s="39">
        <f>BI7+1</f>
      </c>
      <c r="BK7" s="40">
        <f>BJ7+1</f>
      </c>
      <c r="BL7" s="1"/>
      <c r="BM7" s="1"/>
      <c r="BN7" s="1"/>
      <c r="BO7" s="1"/>
    </row>
    <row x14ac:dyDescent="0.25" r="8" customHeight="1" ht="19.5">
      <c r="A8" s="7"/>
      <c r="B8" s="22"/>
      <c r="C8" s="21"/>
      <c r="D8" s="19"/>
      <c r="E8" s="33"/>
      <c r="F8" s="21"/>
      <c r="G8" s="37"/>
      <c r="H8" s="41"/>
      <c r="I8" s="42"/>
      <c r="J8" s="42"/>
      <c r="K8" s="42"/>
      <c r="L8" s="42"/>
      <c r="M8" s="42"/>
      <c r="N8" s="42"/>
      <c r="O8" s="43"/>
      <c r="P8" s="42"/>
      <c r="Q8" s="42"/>
      <c r="R8" s="42"/>
      <c r="S8" s="42"/>
      <c r="T8" s="42"/>
      <c r="U8" s="44"/>
      <c r="V8" s="42"/>
      <c r="W8" s="42"/>
      <c r="X8" s="42"/>
      <c r="Y8" s="42"/>
      <c r="Z8" s="42"/>
      <c r="AA8" s="42"/>
      <c r="AB8" s="44"/>
      <c r="AC8" s="42"/>
      <c r="AD8" s="42"/>
      <c r="AE8" s="42"/>
      <c r="AF8" s="42"/>
      <c r="AG8" s="42"/>
      <c r="AH8" s="42"/>
      <c r="AI8" s="44"/>
      <c r="AJ8" s="42"/>
      <c r="AK8" s="42"/>
      <c r="AL8" s="42"/>
      <c r="AM8" s="42"/>
      <c r="AN8" s="42"/>
      <c r="AO8" s="42"/>
      <c r="AP8" s="44"/>
      <c r="AQ8" s="42"/>
      <c r="AR8" s="42"/>
      <c r="AS8" s="42"/>
      <c r="AT8" s="42"/>
      <c r="AU8" s="42"/>
      <c r="AV8" s="42"/>
      <c r="AW8" s="44"/>
      <c r="AX8" s="42"/>
      <c r="AY8" s="42"/>
      <c r="AZ8" s="42"/>
      <c r="BA8" s="42"/>
      <c r="BB8" s="42"/>
      <c r="BC8" s="42"/>
      <c r="BD8" s="44"/>
      <c r="BE8" s="42"/>
      <c r="BF8" s="42"/>
      <c r="BG8" s="42"/>
      <c r="BH8" s="42"/>
      <c r="BI8" s="42"/>
      <c r="BJ8" s="42"/>
      <c r="BK8" s="45"/>
      <c r="BL8" s="1"/>
      <c r="BM8" s="1"/>
      <c r="BN8" s="1"/>
      <c r="BO8" s="1"/>
    </row>
    <row x14ac:dyDescent="0.25" r="9" customHeight="1" ht="19.5">
      <c r="A9" s="7"/>
      <c r="B9" s="46" t="s">
        <v>11</v>
      </c>
      <c r="C9" s="47" t="s">
        <v>12</v>
      </c>
      <c r="D9" s="48" t="s">
        <v>13</v>
      </c>
      <c r="E9" s="49" t="s">
        <v>14</v>
      </c>
      <c r="F9" s="47" t="s">
        <v>15</v>
      </c>
      <c r="G9" s="50"/>
      <c r="H9" s="51">
        <f>LEFT(TEXT(H7,"jjj"),1)</f>
      </c>
      <c r="I9" s="51">
        <f>LEFT(TEXT(I7,"jjj"),1)</f>
      </c>
      <c r="J9" s="51">
        <f>LEFT(TEXT(J7,"jjj"),1)</f>
      </c>
      <c r="K9" s="51">
        <f>LEFT(TEXT(K7,"jjj"),1)</f>
      </c>
      <c r="L9" s="51">
        <f>LEFT(TEXT(L7,"jjj"),1)</f>
      </c>
      <c r="M9" s="51">
        <f>LEFT(TEXT(M7,"jjj"),1)</f>
      </c>
      <c r="N9" s="51">
        <f>LEFT(TEXT(N7,"jjj"),1)</f>
      </c>
      <c r="O9" s="51">
        <f>LEFT(TEXT(O7,"jjj"),1)</f>
      </c>
      <c r="P9" s="51">
        <f>LEFT(TEXT(P7,"jjj"),1)</f>
      </c>
      <c r="Q9" s="51">
        <f>LEFT(TEXT(Q7,"jjj"),1)</f>
      </c>
      <c r="R9" s="51">
        <f>LEFT(TEXT(R7,"jjj"),1)</f>
      </c>
      <c r="S9" s="51">
        <f>LEFT(TEXT(S7,"jjj"),1)</f>
      </c>
      <c r="T9" s="51">
        <f>LEFT(TEXT(T7,"jjj"),1)</f>
      </c>
      <c r="U9" s="51">
        <f>LEFT(TEXT(U7,"jjj"),1)</f>
      </c>
      <c r="V9" s="51">
        <f>LEFT(TEXT(V7,"jjj"),1)</f>
      </c>
      <c r="W9" s="51">
        <f>LEFT(TEXT(W7,"jjj"),1)</f>
      </c>
      <c r="X9" s="51">
        <f>LEFT(TEXT(X7,"jjj"),1)</f>
      </c>
      <c r="Y9" s="51">
        <f>LEFT(TEXT(Y7,"jjj"),1)</f>
      </c>
      <c r="Z9" s="51">
        <f>LEFT(TEXT(Z7,"jjj"),1)</f>
      </c>
      <c r="AA9" s="51">
        <f>LEFT(TEXT(AA7,"jjj"),1)</f>
      </c>
      <c r="AB9" s="51">
        <f>LEFT(TEXT(AB7,"jjj"),1)</f>
      </c>
      <c r="AC9" s="51">
        <f>LEFT(TEXT(AC7,"jjj"),1)</f>
      </c>
      <c r="AD9" s="51">
        <f>LEFT(TEXT(AD7,"jjj"),1)</f>
      </c>
      <c r="AE9" s="51">
        <f>LEFT(TEXT(AE7,"jjj"),1)</f>
      </c>
      <c r="AF9" s="51">
        <f>LEFT(TEXT(AF7,"jjj"),1)</f>
      </c>
      <c r="AG9" s="51">
        <f>LEFT(TEXT(AG7,"jjj"),1)</f>
      </c>
      <c r="AH9" s="51">
        <f>LEFT(TEXT(AH7,"jjj"),1)</f>
      </c>
      <c r="AI9" s="51">
        <f>LEFT(TEXT(AI7,"jjj"),1)</f>
      </c>
      <c r="AJ9" s="51">
        <f>LEFT(TEXT(AJ7,"jjj"),1)</f>
      </c>
      <c r="AK9" s="51">
        <f>LEFT(TEXT(AK7,"jjj"),1)</f>
      </c>
      <c r="AL9" s="51">
        <f>LEFT(TEXT(AL7,"jjj"),1)</f>
      </c>
      <c r="AM9" s="51">
        <f>LEFT(TEXT(AM7,"jjj"),1)</f>
      </c>
      <c r="AN9" s="51">
        <f>LEFT(TEXT(AN7,"jjj"),1)</f>
      </c>
      <c r="AO9" s="51">
        <f>LEFT(TEXT(AO7,"jjj"),1)</f>
      </c>
      <c r="AP9" s="51">
        <f>LEFT(TEXT(AP7,"jjj"),1)</f>
      </c>
      <c r="AQ9" s="51">
        <f>LEFT(TEXT(AQ7,"jjj"),1)</f>
      </c>
      <c r="AR9" s="51">
        <f>LEFT(TEXT(AR7,"jjj"),1)</f>
      </c>
      <c r="AS9" s="51">
        <f>LEFT(TEXT(AS7,"jjj"),1)</f>
      </c>
      <c r="AT9" s="51">
        <f>LEFT(TEXT(AT7,"jjj"),1)</f>
      </c>
      <c r="AU9" s="51">
        <f>LEFT(TEXT(AU7,"jjj"),1)</f>
      </c>
      <c r="AV9" s="51">
        <f>LEFT(TEXT(AV7,"jjj"),1)</f>
      </c>
      <c r="AW9" s="51">
        <f>LEFT(TEXT(AW7,"jjj"),1)</f>
      </c>
      <c r="AX9" s="51">
        <f>LEFT(TEXT(AX7,"jjj"),1)</f>
      </c>
      <c r="AY9" s="51">
        <f>LEFT(TEXT(AY7,"jjj"),1)</f>
      </c>
      <c r="AZ9" s="51">
        <f>LEFT(TEXT(AZ7,"jjj"),1)</f>
      </c>
      <c r="BA9" s="51">
        <f>LEFT(TEXT(BA7,"jjj"),1)</f>
      </c>
      <c r="BB9" s="51">
        <f>LEFT(TEXT(BB7,"jjj"),1)</f>
      </c>
      <c r="BC9" s="51">
        <f>LEFT(TEXT(BC7,"jjj"),1)</f>
      </c>
      <c r="BD9" s="51">
        <f>LEFT(TEXT(BD7,"jjj"),1)</f>
      </c>
      <c r="BE9" s="51">
        <f>LEFT(TEXT(BE7,"jjj"),1)</f>
      </c>
      <c r="BF9" s="51">
        <f>LEFT(TEXT(BF7,"jjj"),1)</f>
      </c>
      <c r="BG9" s="51">
        <f>LEFT(TEXT(BG7,"jjj"),1)</f>
      </c>
      <c r="BH9" s="51">
        <f>LEFT(TEXT(BH7,"jjj"),1)</f>
      </c>
      <c r="BI9" s="51">
        <f>LEFT(TEXT(BI7,"jjj"),1)</f>
      </c>
      <c r="BJ9" s="51">
        <f>LEFT(TEXT(BJ7,"jjj"),1)</f>
      </c>
      <c r="BK9" s="51">
        <f>LEFT(TEXT(BK7,"jjj"),1)</f>
      </c>
      <c r="BL9" s="1"/>
      <c r="BM9" s="1"/>
      <c r="BN9" s="1"/>
      <c r="BO9" s="1"/>
    </row>
    <row x14ac:dyDescent="0.25" r="10" customHeight="1" ht="18.75" hidden="1">
      <c r="A10" s="1"/>
      <c r="B10" s="52"/>
      <c r="C10" s="53"/>
      <c r="D10" s="53"/>
      <c r="E10" s="54"/>
      <c r="F10" s="55"/>
      <c r="G10" s="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1"/>
      <c r="BM10" s="1"/>
      <c r="BN10" s="1"/>
      <c r="BO10" s="1"/>
    </row>
    <row x14ac:dyDescent="0.25" r="11" customHeight="1" ht="19.5">
      <c r="A11" s="7"/>
      <c r="B11" s="57" t="s">
        <v>16</v>
      </c>
      <c r="C11" s="58"/>
      <c r="D11" s="59"/>
      <c r="E11" s="26">
        <f>Début_Projet</f>
        <v>25569.125</v>
      </c>
      <c r="F11" s="58">
        <f>E16+F16-E11</f>
      </c>
      <c r="G11" s="60"/>
      <c r="H11" s="61">
        <f>IF(AND($C11="Objectif",H$7&gt;=$E11,H$7&lt;=$E11+$F11-1),2,IF(AND($C11="Jalon",H$7&gt;=$E11,H$7&lt;=$E11+$F11-1),1,""))</f>
      </c>
      <c r="I11" s="61">
        <f>IF(AND($C11="Objectif",I$7&gt;=$E11,I$7&lt;=$E11+$F11-1),2,IF(AND($C11="Jalon",I$7&gt;=$E11,I$7&lt;=$E11+$F11-1),1,""))</f>
      </c>
      <c r="J11" s="61">
        <f>IF(AND($C11="Objectif",J$7&gt;=$E11,J$7&lt;=$E11+$F11-1),2,IF(AND($C11="Jalon",J$7&gt;=$E11,J$7&lt;=$E11+$F11-1),1,""))</f>
      </c>
      <c r="K11" s="61">
        <f>IF(AND($C11="Objectif",K$7&gt;=$E11,K$7&lt;=$E11+$F11-1),2,IF(AND($C11="Jalon",K$7&gt;=$E11,K$7&lt;=$E11+$F11-1),1,""))</f>
      </c>
      <c r="L11" s="61">
        <f>IF(AND($C11="Objectif",L$7&gt;=$E11,L$7&lt;=$E11+$F11-1),2,IF(AND($C11="Jalon",L$7&gt;=$E11,L$7&lt;=$E11+$F11-1),1,""))</f>
      </c>
      <c r="M11" s="61">
        <f>IF(AND($C11="Objectif",M$7&gt;=$E11,M$7&lt;=$E11+$F11-1),2,IF(AND($C11="Jalon",M$7&gt;=$E11,M$7&lt;=$E11+$F11-1),1,""))</f>
      </c>
      <c r="N11" s="61">
        <f>IF(AND($C11="Objectif",N$7&gt;=$E11,N$7&lt;=$E11+$F11-1),2,IF(AND($C11="Jalon",N$7&gt;=$E11,N$7&lt;=$E11+$F11-1),1,""))</f>
      </c>
      <c r="O11" s="61">
        <f>IF(AND($C11="Objectif",O$7&gt;=$E11,O$7&lt;=$E11+$F11-1),2,IF(AND($C11="Jalon",O$7&gt;=$E11,O$7&lt;=$E11+$F11-1),1,""))</f>
      </c>
      <c r="P11" s="61">
        <f>IF(AND($C11="Objectif",P$7&gt;=$E11,P$7&lt;=$E11+$F11-1),2,IF(AND($C11="Jalon",P$7&gt;=$E11,P$7&lt;=$E11+$F11-1),1,""))</f>
      </c>
      <c r="Q11" s="61">
        <f>IF(AND($C11="Objectif",Q$7&gt;=$E11,Q$7&lt;=$E11+$F11-1),2,IF(AND($C11="Jalon",Q$7&gt;=$E11,Q$7&lt;=$E11+$F11-1),1,""))</f>
      </c>
      <c r="R11" s="61">
        <f>IF(AND($C11="Objectif",R$7&gt;=$E11,R$7&lt;=$E11+$F11-1),2,IF(AND($C11="Jalon",R$7&gt;=$E11,R$7&lt;=$E11+$F11-1),1,""))</f>
      </c>
      <c r="S11" s="61">
        <f>IF(AND($C11="Objectif",S$7&gt;=$E11,S$7&lt;=$E11+$F11-1),2,IF(AND($C11="Jalon",S$7&gt;=$E11,S$7&lt;=$E11+$F11-1),1,""))</f>
      </c>
      <c r="T11" s="61">
        <f>IF(AND($C11="Objectif",T$7&gt;=$E11,T$7&lt;=$E11+$F11-1),2,IF(AND($C11="Jalon",T$7&gt;=$E11,T$7&lt;=$E11+$F11-1),1,""))</f>
      </c>
      <c r="U11" s="61">
        <f>IF(AND($C11="Objectif",U$7&gt;=$E11,U$7&lt;=$E11+$F11-1),2,IF(AND($C11="Jalon",U$7&gt;=$E11,U$7&lt;=$E11+$F11-1),1,""))</f>
      </c>
      <c r="V11" s="61">
        <f>IF(AND($C11="Objectif",V$7&gt;=$E11,V$7&lt;=$E11+$F11-1),2,IF(AND($C11="Jalon",V$7&gt;=$E11,V$7&lt;=$E11+$F11-1),1,""))</f>
      </c>
      <c r="W11" s="61">
        <f>IF(AND($C11="Objectif",W$7&gt;=$E11,W$7&lt;=$E11+$F11-1),2,IF(AND($C11="Jalon",W$7&gt;=$E11,W$7&lt;=$E11+$F11-1),1,""))</f>
      </c>
      <c r="X11" s="61">
        <f>IF(AND($C11="Objectif",X$7&gt;=$E11,X$7&lt;=$E11+$F11-1),2,IF(AND($C11="Jalon",X$7&gt;=$E11,X$7&lt;=$E11+$F11-1),1,""))</f>
      </c>
      <c r="Y11" s="61">
        <f>IF(AND($C11="Objectif",Y$7&gt;=$E11,Y$7&lt;=$E11+$F11-1),2,IF(AND($C11="Jalon",Y$7&gt;=$E11,Y$7&lt;=$E11+$F11-1),1,""))</f>
      </c>
      <c r="Z11" s="61">
        <f>IF(AND($C11="Objectif",Z$7&gt;=$E11,Z$7&lt;=$E11+$F11-1),2,IF(AND($C11="Jalon",Z$7&gt;=$E11,Z$7&lt;=$E11+$F11-1),1,""))</f>
      </c>
      <c r="AA11" s="61">
        <f>IF(AND($C11="Objectif",AA$7&gt;=$E11,AA$7&lt;=$E11+$F11-1),2,IF(AND($C11="Jalon",AA$7&gt;=$E11,AA$7&lt;=$E11+$F11-1),1,""))</f>
      </c>
      <c r="AB11" s="61">
        <f>IF(AND($C11="Objectif",AB$7&gt;=$E11,AB$7&lt;=$E11+$F11-1),2,IF(AND($C11="Jalon",AB$7&gt;=$E11,AB$7&lt;=$E11+$F11-1),1,""))</f>
      </c>
      <c r="AC11" s="61">
        <f>IF(AND($C11="Objectif",AC$7&gt;=$E11,AC$7&lt;=$E11+$F11-1),2,IF(AND($C11="Jalon",AC$7&gt;=$E11,AC$7&lt;=$E11+$F11-1),1,""))</f>
      </c>
      <c r="AD11" s="61">
        <f>IF(AND($C11="Objectif",AD$7&gt;=$E11,AD$7&lt;=$E11+$F11-1),2,IF(AND($C11="Jalon",AD$7&gt;=$E11,AD$7&lt;=$E11+$F11-1),1,""))</f>
      </c>
      <c r="AE11" s="61">
        <f>IF(AND($C11="Objectif",AE$7&gt;=$E11,AE$7&lt;=$E11+$F11-1),2,IF(AND($C11="Jalon",AE$7&gt;=$E11,AE$7&lt;=$E11+$F11-1),1,""))</f>
      </c>
      <c r="AF11" s="61">
        <f>IF(AND($C11="Objectif",AF$7&gt;=$E11,AF$7&lt;=$E11+$F11-1),2,IF(AND($C11="Jalon",AF$7&gt;=$E11,AF$7&lt;=$E11+$F11-1),1,""))</f>
      </c>
      <c r="AG11" s="61">
        <f>IF(AND($C11="Objectif",AG$7&gt;=$E11,AG$7&lt;=$E11+$F11-1),2,IF(AND($C11="Jalon",AG$7&gt;=$E11,AG$7&lt;=$E11+$F11-1),1,""))</f>
      </c>
      <c r="AH11" s="61">
        <f>IF(AND($C11="Objectif",AH$7&gt;=$E11,AH$7&lt;=$E11+$F11-1),2,IF(AND($C11="Jalon",AH$7&gt;=$E11,AH$7&lt;=$E11+$F11-1),1,""))</f>
      </c>
      <c r="AI11" s="61">
        <f>IF(AND($C11="Objectif",AI$7&gt;=$E11,AI$7&lt;=$E11+$F11-1),2,IF(AND($C11="Jalon",AI$7&gt;=$E11,AI$7&lt;=$E11+$F11-1),1,""))</f>
      </c>
      <c r="AJ11" s="61">
        <f>IF(AND($C11="Objectif",AJ$7&gt;=$E11,AJ$7&lt;=$E11+$F11-1),2,IF(AND($C11="Jalon",AJ$7&gt;=$E11,AJ$7&lt;=$E11+$F11-1),1,""))</f>
      </c>
      <c r="AK11" s="61">
        <f>IF(AND($C11="Objectif",AK$7&gt;=$E11,AK$7&lt;=$E11+$F11-1),2,IF(AND($C11="Jalon",AK$7&gt;=$E11,AK$7&lt;=$E11+$F11-1),1,""))</f>
      </c>
      <c r="AL11" s="61">
        <f>IF(AND($C11="Objectif",AL$7&gt;=$E11,AL$7&lt;=$E11+$F11-1),2,IF(AND($C11="Jalon",AL$7&gt;=$E11,AL$7&lt;=$E11+$F11-1),1,""))</f>
      </c>
      <c r="AM11" s="61">
        <f>IF(AND($C11="Objectif",AM$7&gt;=$E11,AM$7&lt;=$E11+$F11-1),2,IF(AND($C11="Jalon",AM$7&gt;=$E11,AM$7&lt;=$E11+$F11-1),1,""))</f>
      </c>
      <c r="AN11" s="61">
        <f>IF(AND($C11="Objectif",AN$7&gt;=$E11,AN$7&lt;=$E11+$F11-1),2,IF(AND($C11="Jalon",AN$7&gt;=$E11,AN$7&lt;=$E11+$F11-1),1,""))</f>
      </c>
      <c r="AO11" s="61">
        <f>IF(AND($C11="Objectif",AO$7&gt;=$E11,AO$7&lt;=$E11+$F11-1),2,IF(AND($C11="Jalon",AO$7&gt;=$E11,AO$7&lt;=$E11+$F11-1),1,""))</f>
      </c>
      <c r="AP11" s="61">
        <f>IF(AND($C11="Objectif",AP$7&gt;=$E11,AP$7&lt;=$E11+$F11-1),2,IF(AND($C11="Jalon",AP$7&gt;=$E11,AP$7&lt;=$E11+$F11-1),1,""))</f>
      </c>
      <c r="AQ11" s="61">
        <f>IF(AND($C11="Objectif",AQ$7&gt;=$E11,AQ$7&lt;=$E11+$F11-1),2,IF(AND($C11="Jalon",AQ$7&gt;=$E11,AQ$7&lt;=$E11+$F11-1),1,""))</f>
      </c>
      <c r="AR11" s="61">
        <f>IF(AND($C11="Objectif",AR$7&gt;=$E11,AR$7&lt;=$E11+$F11-1),2,IF(AND($C11="Jalon",AR$7&gt;=$E11,AR$7&lt;=$E11+$F11-1),1,""))</f>
      </c>
      <c r="AS11" s="61">
        <f>IF(AND($C11="Objectif",AS$7&gt;=$E11,AS$7&lt;=$E11+$F11-1),2,IF(AND($C11="Jalon",AS$7&gt;=$E11,AS$7&lt;=$E11+$F11-1),1,""))</f>
      </c>
      <c r="AT11" s="61">
        <f>IF(AND($C11="Objectif",AT$7&gt;=$E11,AT$7&lt;=$E11+$F11-1),2,IF(AND($C11="Jalon",AT$7&gt;=$E11,AT$7&lt;=$E11+$F11-1),1,""))</f>
      </c>
      <c r="AU11" s="61">
        <f>IF(AND($C11="Objectif",AU$7&gt;=$E11,AU$7&lt;=$E11+$F11-1),2,IF(AND($C11="Jalon",AU$7&gt;=$E11,AU$7&lt;=$E11+$F11-1),1,""))</f>
      </c>
      <c r="AV11" s="61">
        <f>IF(AND($C11="Objectif",AV$7&gt;=$E11,AV$7&lt;=$E11+$F11-1),2,IF(AND($C11="Jalon",AV$7&gt;=$E11,AV$7&lt;=$E11+$F11-1),1,""))</f>
      </c>
      <c r="AW11" s="61">
        <f>IF(AND($C11="Objectif",AW$7&gt;=$E11,AW$7&lt;=$E11+$F11-1),2,IF(AND($C11="Jalon",AW$7&gt;=$E11,AW$7&lt;=$E11+$F11-1),1,""))</f>
      </c>
      <c r="AX11" s="61">
        <f>IF(AND($C11="Objectif",AX$7&gt;=$E11,AX$7&lt;=$E11+$F11-1),2,IF(AND($C11="Jalon",AX$7&gt;=$E11,AX$7&lt;=$E11+$F11-1),1,""))</f>
      </c>
      <c r="AY11" s="61">
        <f>IF(AND($C11="Objectif",AY$7&gt;=$E11,AY$7&lt;=$E11+$F11-1),2,IF(AND($C11="Jalon",AY$7&gt;=$E11,AY$7&lt;=$E11+$F11-1),1,""))</f>
      </c>
      <c r="AZ11" s="61">
        <f>IF(AND($C11="Objectif",AZ$7&gt;=$E11,AZ$7&lt;=$E11+$F11-1),2,IF(AND($C11="Jalon",AZ$7&gt;=$E11,AZ$7&lt;=$E11+$F11-1),1,""))</f>
      </c>
      <c r="BA11" s="61">
        <f>IF(AND($C11="Objectif",BA$7&gt;=$E11,BA$7&lt;=$E11+$F11-1),2,IF(AND($C11="Jalon",BA$7&gt;=$E11,BA$7&lt;=$E11+$F11-1),1,""))</f>
      </c>
      <c r="BB11" s="61">
        <f>IF(AND($C11="Objectif",BB$7&gt;=$E11,BB$7&lt;=$E11+$F11-1),2,IF(AND($C11="Jalon",BB$7&gt;=$E11,BB$7&lt;=$E11+$F11-1),1,""))</f>
      </c>
      <c r="BC11" s="61">
        <f>IF(AND($C11="Objectif",BC$7&gt;=$E11,BC$7&lt;=$E11+$F11-1),2,IF(AND($C11="Jalon",BC$7&gt;=$E11,BC$7&lt;=$E11+$F11-1),1,""))</f>
      </c>
      <c r="BD11" s="61">
        <f>IF(AND($C11="Objectif",BD$7&gt;=$E11,BD$7&lt;=$E11+$F11-1),2,IF(AND($C11="Jalon",BD$7&gt;=$E11,BD$7&lt;=$E11+$F11-1),1,""))</f>
      </c>
      <c r="BE11" s="61">
        <f>IF(AND($C11="Objectif",BE$7&gt;=$E11,BE$7&lt;=$E11+$F11-1),2,IF(AND($C11="Jalon",BE$7&gt;=$E11,BE$7&lt;=$E11+$F11-1),1,""))</f>
      </c>
      <c r="BF11" s="61">
        <f>IF(AND($C11="Objectif",BF$7&gt;=$E11,BF$7&lt;=$E11+$F11-1),2,IF(AND($C11="Jalon",BF$7&gt;=$E11,BF$7&lt;=$E11+$F11-1),1,""))</f>
      </c>
      <c r="BG11" s="61">
        <f>IF(AND($C11="Objectif",BG$7&gt;=$E11,BG$7&lt;=$E11+$F11-1),2,IF(AND($C11="Jalon",BG$7&gt;=$E11,BG$7&lt;=$E11+$F11-1),1,""))</f>
      </c>
      <c r="BH11" s="61">
        <f>IF(AND($C11="Objectif",BH$7&gt;=$E11,BH$7&lt;=$E11+$F11-1),2,IF(AND($C11="Jalon",BH$7&gt;=$E11,BH$7&lt;=$E11+$F11-1),1,""))</f>
      </c>
      <c r="BI11" s="61">
        <f>IF(AND($C11="Objectif",BI$7&gt;=$E11,BI$7&lt;=$E11+$F11-1),2,IF(AND($C11="Jalon",BI$7&gt;=$E11,BI$7&lt;=$E11+$F11-1),1,""))</f>
      </c>
      <c r="BJ11" s="61">
        <f>IF(AND($C11="Objectif",BJ$7&gt;=$E11,BJ$7&lt;=$E11+$F11-1),2,IF(AND($C11="Jalon",BJ$7&gt;=$E11,BJ$7&lt;=$E11+$F11-1),1,""))</f>
      </c>
      <c r="BK11" s="61">
        <f>IF(AND($C11="Objectif",BK$7&gt;=$E11,BK$7&lt;=$E11+$F11-1),2,IF(AND($C11="Jalon",BK$7&gt;=$E11,BK$7&lt;=$E11+$F11-1),1,""))</f>
      </c>
      <c r="BL11" s="1"/>
      <c r="BM11" s="1"/>
      <c r="BN11" s="1"/>
      <c r="BO11" s="62"/>
    </row>
    <row x14ac:dyDescent="0.25" r="12" customHeight="1" ht="33">
      <c r="A12" s="7"/>
      <c r="B12" s="63" t="s">
        <v>17</v>
      </c>
      <c r="C12" s="58" t="s">
        <v>18</v>
      </c>
      <c r="D12" s="59">
        <v>1</v>
      </c>
      <c r="E12" s="26">
        <f>E11</f>
        <v>25569.125</v>
      </c>
      <c r="F12" s="58">
        <v>3</v>
      </c>
      <c r="G12" s="60"/>
      <c r="H12" s="61">
        <f>IF(AND($C12="Objectif",H$7&gt;=$E12,H$7&lt;=$E12+$F12-1),2,IF(AND($C12="Jalon",H$7&gt;=$E12,H$7&lt;=$E12+$F12-1),1,""))</f>
      </c>
      <c r="I12" s="61">
        <f>IF(AND($C12="Objectif",I$7&gt;=$E12,I$7&lt;=$E12+$F12-1),2,IF(AND($C12="Jalon",I$7&gt;=$E12,I$7&lt;=$E12+$F12-1),1,""))</f>
      </c>
      <c r="J12" s="61">
        <f>IF(AND($C12="Objectif",J$7&gt;=$E12,J$7&lt;=$E12+$F12-1),2,IF(AND($C12="Jalon",J$7&gt;=$E12,J$7&lt;=$E12+$F12-1),1,""))</f>
      </c>
      <c r="K12" s="61">
        <f>IF(AND($C12="Objectif",K$7&gt;=$E12,K$7&lt;=$E12+$F12-1),2,IF(AND($C12="Jalon",K$7&gt;=$E12,K$7&lt;=$E12+$F12-1),1,""))</f>
      </c>
      <c r="L12" s="61">
        <f>IF(AND($C12="Objectif",L$7&gt;=$E12,L$7&lt;=$E12+$F12-1),2,IF(AND($C12="Jalon",L$7&gt;=$E12,L$7&lt;=$E12+$F12-1),1,""))</f>
      </c>
      <c r="M12" s="61">
        <f>IF(AND($C12="Objectif",M$7&gt;=$E12,M$7&lt;=$E12+$F12-1),2,IF(AND($C12="Jalon",M$7&gt;=$E12,M$7&lt;=$E12+$F12-1),1,""))</f>
      </c>
      <c r="N12" s="61">
        <f>IF(AND($C12="Objectif",N$7&gt;=$E12,N$7&lt;=$E12+$F12-1),2,IF(AND($C12="Jalon",N$7&gt;=$E12,N$7&lt;=$E12+$F12-1),1,""))</f>
      </c>
      <c r="O12" s="61">
        <f>IF(AND($C12="Objectif",O$7&gt;=$E12,O$7&lt;=$E12+$F12-1),2,IF(AND($C12="Jalon",O$7&gt;=$E12,O$7&lt;=$E12+$F12-1),1,""))</f>
      </c>
      <c r="P12" s="61">
        <f>IF(AND($C12="Objectif",P$7&gt;=$E12,P$7&lt;=$E12+$F12-1),2,IF(AND($C12="Jalon",P$7&gt;=$E12,P$7&lt;=$E12+$F12-1),1,""))</f>
      </c>
      <c r="Q12" s="61">
        <f>IF(AND($C12="Objectif",Q$7&gt;=$E12,Q$7&lt;=$E12+$F12-1),2,IF(AND($C12="Jalon",Q$7&gt;=$E12,Q$7&lt;=$E12+$F12-1),1,""))</f>
      </c>
      <c r="R12" s="61">
        <f>IF(AND($C12="Objectif",R$7&gt;=$E12,R$7&lt;=$E12+$F12-1),2,IF(AND($C12="Jalon",R$7&gt;=$E12,R$7&lt;=$E12+$F12-1),1,""))</f>
      </c>
      <c r="S12" s="61">
        <f>IF(AND($C12="Objectif",S$7&gt;=$E12,S$7&lt;=$E12+$F12-1),2,IF(AND($C12="Jalon",S$7&gt;=$E12,S$7&lt;=$E12+$F12-1),1,""))</f>
      </c>
      <c r="T12" s="61">
        <f>IF(AND($C12="Objectif",T$7&gt;=$E12,T$7&lt;=$E12+$F12-1),2,IF(AND($C12="Jalon",T$7&gt;=$E12,T$7&lt;=$E12+$F12-1),1,""))</f>
      </c>
      <c r="U12" s="61">
        <f>IF(AND($C12="Objectif",U$7&gt;=$E12,U$7&lt;=$E12+$F12-1),2,IF(AND($C12="Jalon",U$7&gt;=$E12,U$7&lt;=$E12+$F12-1),1,""))</f>
      </c>
      <c r="V12" s="61">
        <f>IF(AND($C12="Objectif",V$7&gt;=$E12,V$7&lt;=$E12+$F12-1),2,IF(AND($C12="Jalon",V$7&gt;=$E12,V$7&lt;=$E12+$F12-1),1,""))</f>
      </c>
      <c r="W12" s="61">
        <f>IF(AND($C12="Objectif",W$7&gt;=$E12,W$7&lt;=$E12+$F12-1),2,IF(AND($C12="Jalon",W$7&gt;=$E12,W$7&lt;=$E12+$F12-1),1,""))</f>
      </c>
      <c r="X12" s="61">
        <f>IF(AND($C12="Objectif",X$7&gt;=$E12,X$7&lt;=$E12+$F12-1),2,IF(AND($C12="Jalon",X$7&gt;=$E12,X$7&lt;=$E12+$F12-1),1,""))</f>
      </c>
      <c r="Y12" s="61">
        <f>IF(AND($C12="Objectif",Y$7&gt;=$E12,Y$7&lt;=$E12+$F12-1),2,IF(AND($C12="Jalon",Y$7&gt;=$E12,Y$7&lt;=$E12+$F12-1),1,""))</f>
      </c>
      <c r="Z12" s="61">
        <f>IF(AND($C12="Objectif",Z$7&gt;=$E12,Z$7&lt;=$E12+$F12-1),2,IF(AND($C12="Jalon",Z$7&gt;=$E12,Z$7&lt;=$E12+$F12-1),1,""))</f>
      </c>
      <c r="AA12" s="61">
        <f>IF(AND($C12="Objectif",AA$7&gt;=$E12,AA$7&lt;=$E12+$F12-1),2,IF(AND($C12="Jalon",AA$7&gt;=$E12,AA$7&lt;=$E12+$F12-1),1,""))</f>
      </c>
      <c r="AB12" s="61">
        <f>IF(AND($C12="Objectif",AB$7&gt;=$E12,AB$7&lt;=$E12+$F12-1),2,IF(AND($C12="Jalon",AB$7&gt;=$E12,AB$7&lt;=$E12+$F12-1),1,""))</f>
      </c>
      <c r="AC12" s="61">
        <f>IF(AND($C12="Objectif",AC$7&gt;=$E12,AC$7&lt;=$E12+$F12-1),2,IF(AND($C12="Jalon",AC$7&gt;=$E12,AC$7&lt;=$E12+$F12-1),1,""))</f>
      </c>
      <c r="AD12" s="61">
        <f>IF(AND($C12="Objectif",AD$7&gt;=$E12,AD$7&lt;=$E12+$F12-1),2,IF(AND($C12="Jalon",AD$7&gt;=$E12,AD$7&lt;=$E12+$F12-1),1,""))</f>
      </c>
      <c r="AE12" s="61">
        <f>IF(AND($C12="Objectif",AE$7&gt;=$E12,AE$7&lt;=$E12+$F12-1),2,IF(AND($C12="Jalon",AE$7&gt;=$E12,AE$7&lt;=$E12+$F12-1),1,""))</f>
      </c>
      <c r="AF12" s="61">
        <f>IF(AND($C12="Objectif",AF$7&gt;=$E12,AF$7&lt;=$E12+$F12-1),2,IF(AND($C12="Jalon",AF$7&gt;=$E12,AF$7&lt;=$E12+$F12-1),1,""))</f>
      </c>
      <c r="AG12" s="61">
        <f>IF(AND($C12="Objectif",AG$7&gt;=$E12,AG$7&lt;=$E12+$F12-1),2,IF(AND($C12="Jalon",AG$7&gt;=$E12,AG$7&lt;=$E12+$F12-1),1,""))</f>
      </c>
      <c r="AH12" s="61">
        <f>IF(AND($C12="Objectif",AH$7&gt;=$E12,AH$7&lt;=$E12+$F12-1),2,IF(AND($C12="Jalon",AH$7&gt;=$E12,AH$7&lt;=$E12+$F12-1),1,""))</f>
      </c>
      <c r="AI12" s="61">
        <f>IF(AND($C12="Objectif",AI$7&gt;=$E12,AI$7&lt;=$E12+$F12-1),2,IF(AND($C12="Jalon",AI$7&gt;=$E12,AI$7&lt;=$E12+$F12-1),1,""))</f>
      </c>
      <c r="AJ12" s="61">
        <f>IF(AND($C12="Objectif",AJ$7&gt;=$E12,AJ$7&lt;=$E12+$F12-1),2,IF(AND($C12="Jalon",AJ$7&gt;=$E12,AJ$7&lt;=$E12+$F12-1),1,""))</f>
      </c>
      <c r="AK12" s="61">
        <f>IF(AND($C12="Objectif",AK$7&gt;=$E12,AK$7&lt;=$E12+$F12-1),2,IF(AND($C12="Jalon",AK$7&gt;=$E12,AK$7&lt;=$E12+$F12-1),1,""))</f>
      </c>
      <c r="AL12" s="61">
        <f>IF(AND($C12="Objectif",AL$7&gt;=$E12,AL$7&lt;=$E12+$F12-1),2,IF(AND($C12="Jalon",AL$7&gt;=$E12,AL$7&lt;=$E12+$F12-1),1,""))</f>
      </c>
      <c r="AM12" s="61">
        <f>IF(AND($C12="Objectif",AM$7&gt;=$E12,AM$7&lt;=$E12+$F12-1),2,IF(AND($C12="Jalon",AM$7&gt;=$E12,AM$7&lt;=$E12+$F12-1),1,""))</f>
      </c>
      <c r="AN12" s="61">
        <f>IF(AND($C12="Objectif",AN$7&gt;=$E12,AN$7&lt;=$E12+$F12-1),2,IF(AND($C12="Jalon",AN$7&gt;=$E12,AN$7&lt;=$E12+$F12-1),1,""))</f>
      </c>
      <c r="AO12" s="61">
        <f>IF(AND($C12="Objectif",AO$7&gt;=$E12,AO$7&lt;=$E12+$F12-1),2,IF(AND($C12="Jalon",AO$7&gt;=$E12,AO$7&lt;=$E12+$F12-1),1,""))</f>
      </c>
      <c r="AP12" s="61">
        <f>IF(AND($C12="Objectif",AP$7&gt;=$E12,AP$7&lt;=$E12+$F12-1),2,IF(AND($C12="Jalon",AP$7&gt;=$E12,AP$7&lt;=$E12+$F12-1),1,""))</f>
      </c>
      <c r="AQ12" s="61">
        <f>IF(AND($C12="Objectif",AQ$7&gt;=$E12,AQ$7&lt;=$E12+$F12-1),2,IF(AND($C12="Jalon",AQ$7&gt;=$E12,AQ$7&lt;=$E12+$F12-1),1,""))</f>
      </c>
      <c r="AR12" s="61">
        <f>IF(AND($C12="Objectif",AR$7&gt;=$E12,AR$7&lt;=$E12+$F12-1),2,IF(AND($C12="Jalon",AR$7&gt;=$E12,AR$7&lt;=$E12+$F12-1),1,""))</f>
      </c>
      <c r="AS12" s="61">
        <f>IF(AND($C12="Objectif",AS$7&gt;=$E12,AS$7&lt;=$E12+$F12-1),2,IF(AND($C12="Jalon",AS$7&gt;=$E12,AS$7&lt;=$E12+$F12-1),1,""))</f>
      </c>
      <c r="AT12" s="61">
        <f>IF(AND($C12="Objectif",AT$7&gt;=$E12,AT$7&lt;=$E12+$F12-1),2,IF(AND($C12="Jalon",AT$7&gt;=$E12,AT$7&lt;=$E12+$F12-1),1,""))</f>
      </c>
      <c r="AU12" s="61">
        <f>IF(AND($C12="Objectif",AU$7&gt;=$E12,AU$7&lt;=$E12+$F12-1),2,IF(AND($C12="Jalon",AU$7&gt;=$E12,AU$7&lt;=$E12+$F12-1),1,""))</f>
      </c>
      <c r="AV12" s="61">
        <f>IF(AND($C12="Objectif",AV$7&gt;=$E12,AV$7&lt;=$E12+$F12-1),2,IF(AND($C12="Jalon",AV$7&gt;=$E12,AV$7&lt;=$E12+$F12-1),1,""))</f>
      </c>
      <c r="AW12" s="61">
        <f>IF(AND($C12="Objectif",AW$7&gt;=$E12,AW$7&lt;=$E12+$F12-1),2,IF(AND($C12="Jalon",AW$7&gt;=$E12,AW$7&lt;=$E12+$F12-1),1,""))</f>
      </c>
      <c r="AX12" s="61">
        <f>IF(AND($C12="Objectif",AX$7&gt;=$E12,AX$7&lt;=$E12+$F12-1),2,IF(AND($C12="Jalon",AX$7&gt;=$E12,AX$7&lt;=$E12+$F12-1),1,""))</f>
      </c>
      <c r="AY12" s="61">
        <f>IF(AND($C12="Objectif",AY$7&gt;=$E12,AY$7&lt;=$E12+$F12-1),2,IF(AND($C12="Jalon",AY$7&gt;=$E12,AY$7&lt;=$E12+$F12-1),1,""))</f>
      </c>
      <c r="AZ12" s="61">
        <f>IF(AND($C12="Objectif",AZ$7&gt;=$E12,AZ$7&lt;=$E12+$F12-1),2,IF(AND($C12="Jalon",AZ$7&gt;=$E12,AZ$7&lt;=$E12+$F12-1),1,""))</f>
      </c>
      <c r="BA12" s="61">
        <f>IF(AND($C12="Objectif",BA$7&gt;=$E12,BA$7&lt;=$E12+$F12-1),2,IF(AND($C12="Jalon",BA$7&gt;=$E12,BA$7&lt;=$E12+$F12-1),1,""))</f>
      </c>
      <c r="BB12" s="61">
        <f>IF(AND($C12="Objectif",BB$7&gt;=$E12,BB$7&lt;=$E12+$F12-1),2,IF(AND($C12="Jalon",BB$7&gt;=$E12,BB$7&lt;=$E12+$F12-1),1,""))</f>
      </c>
      <c r="BC12" s="61">
        <f>IF(AND($C12="Objectif",BC$7&gt;=$E12,BC$7&lt;=$E12+$F12-1),2,IF(AND($C12="Jalon",BC$7&gt;=$E12,BC$7&lt;=$E12+$F12-1),1,""))</f>
      </c>
      <c r="BD12" s="61">
        <f>IF(AND($C12="Objectif",BD$7&gt;=$E12,BD$7&lt;=$E12+$F12-1),2,IF(AND($C12="Jalon",BD$7&gt;=$E12,BD$7&lt;=$E12+$F12-1),1,""))</f>
      </c>
      <c r="BE12" s="61">
        <f>IF(AND($C12="Objectif",BE$7&gt;=$E12,BE$7&lt;=$E12+$F12-1),2,IF(AND($C12="Jalon",BE$7&gt;=$E12,BE$7&lt;=$E12+$F12-1),1,""))</f>
      </c>
      <c r="BF12" s="61">
        <f>IF(AND($C12="Objectif",BF$7&gt;=$E12,BF$7&lt;=$E12+$F12-1),2,IF(AND($C12="Jalon",BF$7&gt;=$E12,BF$7&lt;=$E12+$F12-1),1,""))</f>
      </c>
      <c r="BG12" s="61">
        <f>IF(AND($C12="Objectif",BG$7&gt;=$E12,BG$7&lt;=$E12+$F12-1),2,IF(AND($C12="Jalon",BG$7&gt;=$E12,BG$7&lt;=$E12+$F12-1),1,""))</f>
      </c>
      <c r="BH12" s="61">
        <f>IF(AND($C12="Objectif",BH$7&gt;=$E12,BH$7&lt;=$E12+$F12-1),2,IF(AND($C12="Jalon",BH$7&gt;=$E12,BH$7&lt;=$E12+$F12-1),1,""))</f>
      </c>
      <c r="BI12" s="61">
        <f>IF(AND($C12="Objectif",BI$7&gt;=$E12,BI$7&lt;=$E12+$F12-1),2,IF(AND($C12="Jalon",BI$7&gt;=$E12,BI$7&lt;=$E12+$F12-1),1,""))</f>
      </c>
      <c r="BJ12" s="61">
        <f>IF(AND($C12="Objectif",BJ$7&gt;=$E12,BJ$7&lt;=$E12+$F12-1),2,IF(AND($C12="Jalon",BJ$7&gt;=$E12,BJ$7&lt;=$E12+$F12-1),1,""))</f>
      </c>
      <c r="BK12" s="61">
        <f>IF(AND($C12="Objectif",BK$7&gt;=$E12,BK$7&lt;=$E12+$F12-1),2,IF(AND($C12="Jalon",BK$7&gt;=$E12,BK$7&lt;=$E12+$F12-1),1,""))</f>
      </c>
      <c r="BL12" s="1"/>
      <c r="BM12" s="1"/>
      <c r="BN12" s="1"/>
      <c r="BO12" s="1"/>
    </row>
    <row x14ac:dyDescent="0.25" r="13" customHeight="1" ht="19.5">
      <c r="A13" s="7"/>
      <c r="B13" s="63" t="s">
        <v>19</v>
      </c>
      <c r="C13" s="58" t="s">
        <v>3</v>
      </c>
      <c r="D13" s="59">
        <v>1</v>
      </c>
      <c r="E13" s="26">
        <f>E12+F12</f>
        <v>25569.125</v>
      </c>
      <c r="F13" s="58">
        <v>2</v>
      </c>
      <c r="G13" s="60"/>
      <c r="H13" s="61">
        <f>IF(AND($C13="Objectif",H$7&gt;=$E13,H$7&lt;=$E13+$F13-1),2,IF(AND($C13="Jalon",H$7&gt;=$E13,H$7&lt;=$E13+$F13-1),1,""))</f>
      </c>
      <c r="I13" s="61">
        <f>IF(AND($C13="Objectif",I$7&gt;=$E13,I$7&lt;=$E13+$F13-1),2,IF(AND($C13="Jalon",I$7&gt;=$E13,I$7&lt;=$E13+$F13-1),1,""))</f>
      </c>
      <c r="J13" s="61">
        <f>IF(AND($C13="Objectif",J$7&gt;=$E13,J$7&lt;=$E13+$F13-1),2,IF(AND($C13="Jalon",J$7&gt;=$E13,J$7&lt;=$E13+$F13-1),1,""))</f>
      </c>
      <c r="K13" s="61">
        <f>IF(AND($C13="Objectif",K$7&gt;=$E13,K$7&lt;=$E13+$F13-1),2,IF(AND($C13="Jalon",K$7&gt;=$E13,K$7&lt;=$E13+$F13-1),1,""))</f>
      </c>
      <c r="L13" s="61">
        <f>IF(AND($C13="Objectif",L$7&gt;=$E13,L$7&lt;=$E13+$F13-1),2,IF(AND($C13="Jalon",L$7&gt;=$E13,L$7&lt;=$E13+$F13-1),1,""))</f>
      </c>
      <c r="M13" s="61">
        <f>IF(AND($C13="Objectif",M$7&gt;=$E13,M$7&lt;=$E13+$F13-1),2,IF(AND($C13="Jalon",M$7&gt;=$E13,M$7&lt;=$E13+$F13-1),1,""))</f>
      </c>
      <c r="N13" s="61">
        <f>IF(AND($C13="Objectif",N$7&gt;=$E13,N$7&lt;=$E13+$F13-1),2,IF(AND($C13="Jalon",N$7&gt;=$E13,N$7&lt;=$E13+$F13-1),1,""))</f>
      </c>
      <c r="O13" s="61">
        <f>IF(AND($C13="Objectif",O$7&gt;=$E13,O$7&lt;=$E13+$F13-1),2,IF(AND($C13="Jalon",O$7&gt;=$E13,O$7&lt;=$E13+$F13-1),1,""))</f>
      </c>
      <c r="P13" s="61">
        <f>IF(AND($C13="Objectif",P$7&gt;=$E13,P$7&lt;=$E13+$F13-1),2,IF(AND($C13="Jalon",P$7&gt;=$E13,P$7&lt;=$E13+$F13-1),1,""))</f>
      </c>
      <c r="Q13" s="61">
        <f>IF(AND($C13="Objectif",Q$7&gt;=$E13,Q$7&lt;=$E13+$F13-1),2,IF(AND($C13="Jalon",Q$7&gt;=$E13,Q$7&lt;=$E13+$F13-1),1,""))</f>
      </c>
      <c r="R13" s="61">
        <f>IF(AND($C13="Objectif",R$7&gt;=$E13,R$7&lt;=$E13+$F13-1),2,IF(AND($C13="Jalon",R$7&gt;=$E13,R$7&lt;=$E13+$F13-1),1,""))</f>
      </c>
      <c r="S13" s="61">
        <f>IF(AND($C13="Objectif",S$7&gt;=$E13,S$7&lt;=$E13+$F13-1),2,IF(AND($C13="Jalon",S$7&gt;=$E13,S$7&lt;=$E13+$F13-1),1,""))</f>
      </c>
      <c r="T13" s="61">
        <f>IF(AND($C13="Objectif",T$7&gt;=$E13,T$7&lt;=$E13+$F13-1),2,IF(AND($C13="Jalon",T$7&gt;=$E13,T$7&lt;=$E13+$F13-1),1,""))</f>
      </c>
      <c r="U13" s="61">
        <f>IF(AND($C13="Objectif",U$7&gt;=$E13,U$7&lt;=$E13+$F13-1),2,IF(AND($C13="Jalon",U$7&gt;=$E13,U$7&lt;=$E13+$F13-1),1,""))</f>
      </c>
      <c r="V13" s="61">
        <f>IF(AND($C13="Objectif",V$7&gt;=$E13,V$7&lt;=$E13+$F13-1),2,IF(AND($C13="Jalon",V$7&gt;=$E13,V$7&lt;=$E13+$F13-1),1,""))</f>
      </c>
      <c r="W13" s="61">
        <f>IF(AND($C13="Objectif",W$7&gt;=$E13,W$7&lt;=$E13+$F13-1),2,IF(AND($C13="Jalon",W$7&gt;=$E13,W$7&lt;=$E13+$F13-1),1,""))</f>
      </c>
      <c r="X13" s="61">
        <f>IF(AND($C13="Objectif",X$7&gt;=$E13,X$7&lt;=$E13+$F13-1),2,IF(AND($C13="Jalon",X$7&gt;=$E13,X$7&lt;=$E13+$F13-1),1,""))</f>
      </c>
      <c r="Y13" s="61">
        <f>IF(AND($C13="Objectif",Y$7&gt;=$E13,Y$7&lt;=$E13+$F13-1),2,IF(AND($C13="Jalon",Y$7&gt;=$E13,Y$7&lt;=$E13+$F13-1),1,""))</f>
      </c>
      <c r="Z13" s="61">
        <f>IF(AND($C13="Objectif",Z$7&gt;=$E13,Z$7&lt;=$E13+$F13-1),2,IF(AND($C13="Jalon",Z$7&gt;=$E13,Z$7&lt;=$E13+$F13-1),1,""))</f>
      </c>
      <c r="AA13" s="61">
        <f>IF(AND($C13="Objectif",AA$7&gt;=$E13,AA$7&lt;=$E13+$F13-1),2,IF(AND($C13="Jalon",AA$7&gt;=$E13,AA$7&lt;=$E13+$F13-1),1,""))</f>
      </c>
      <c r="AB13" s="61">
        <f>IF(AND($C13="Objectif",AB$7&gt;=$E13,AB$7&lt;=$E13+$F13-1),2,IF(AND($C13="Jalon",AB$7&gt;=$E13,AB$7&lt;=$E13+$F13-1),1,""))</f>
      </c>
      <c r="AC13" s="61">
        <f>IF(AND($C13="Objectif",AC$7&gt;=$E13,AC$7&lt;=$E13+$F13-1),2,IF(AND($C13="Jalon",AC$7&gt;=$E13,AC$7&lt;=$E13+$F13-1),1,""))</f>
      </c>
      <c r="AD13" s="61">
        <f>IF(AND($C13="Objectif",AD$7&gt;=$E13,AD$7&lt;=$E13+$F13-1),2,IF(AND($C13="Jalon",AD$7&gt;=$E13,AD$7&lt;=$E13+$F13-1),1,""))</f>
      </c>
      <c r="AE13" s="61">
        <f>IF(AND($C13="Objectif",AE$7&gt;=$E13,AE$7&lt;=$E13+$F13-1),2,IF(AND($C13="Jalon",AE$7&gt;=$E13,AE$7&lt;=$E13+$F13-1),1,""))</f>
      </c>
      <c r="AF13" s="61">
        <f>IF(AND($C13="Objectif",AF$7&gt;=$E13,AF$7&lt;=$E13+$F13-1),2,IF(AND($C13="Jalon",AF$7&gt;=$E13,AF$7&lt;=$E13+$F13-1),1,""))</f>
      </c>
      <c r="AG13" s="61">
        <f>IF(AND($C13="Objectif",AG$7&gt;=$E13,AG$7&lt;=$E13+$F13-1),2,IF(AND($C13="Jalon",AG$7&gt;=$E13,AG$7&lt;=$E13+$F13-1),1,""))</f>
      </c>
      <c r="AH13" s="61">
        <f>IF(AND($C13="Objectif",AH$7&gt;=$E13,AH$7&lt;=$E13+$F13-1),2,IF(AND($C13="Jalon",AH$7&gt;=$E13,AH$7&lt;=$E13+$F13-1),1,""))</f>
      </c>
      <c r="AI13" s="61">
        <f>IF(AND($C13="Objectif",AI$7&gt;=$E13,AI$7&lt;=$E13+$F13-1),2,IF(AND($C13="Jalon",AI$7&gt;=$E13,AI$7&lt;=$E13+$F13-1),1,""))</f>
      </c>
      <c r="AJ13" s="61">
        <f>IF(AND($C13="Objectif",AJ$7&gt;=$E13,AJ$7&lt;=$E13+$F13-1),2,IF(AND($C13="Jalon",AJ$7&gt;=$E13,AJ$7&lt;=$E13+$F13-1),1,""))</f>
      </c>
      <c r="AK13" s="61">
        <f>IF(AND($C13="Objectif",AK$7&gt;=$E13,AK$7&lt;=$E13+$F13-1),2,IF(AND($C13="Jalon",AK$7&gt;=$E13,AK$7&lt;=$E13+$F13-1),1,""))</f>
      </c>
      <c r="AL13" s="61">
        <f>IF(AND($C13="Objectif",AL$7&gt;=$E13,AL$7&lt;=$E13+$F13-1),2,IF(AND($C13="Jalon",AL$7&gt;=$E13,AL$7&lt;=$E13+$F13-1),1,""))</f>
      </c>
      <c r="AM13" s="61">
        <f>IF(AND($C13="Objectif",AM$7&gt;=$E13,AM$7&lt;=$E13+$F13-1),2,IF(AND($C13="Jalon",AM$7&gt;=$E13,AM$7&lt;=$E13+$F13-1),1,""))</f>
      </c>
      <c r="AN13" s="61">
        <f>IF(AND($C13="Objectif",AN$7&gt;=$E13,AN$7&lt;=$E13+$F13-1),2,IF(AND($C13="Jalon",AN$7&gt;=$E13,AN$7&lt;=$E13+$F13-1),1,""))</f>
      </c>
      <c r="AO13" s="61">
        <f>IF(AND($C13="Objectif",AO$7&gt;=$E13,AO$7&lt;=$E13+$F13-1),2,IF(AND($C13="Jalon",AO$7&gt;=$E13,AO$7&lt;=$E13+$F13-1),1,""))</f>
      </c>
      <c r="AP13" s="61">
        <f>IF(AND($C13="Objectif",AP$7&gt;=$E13,AP$7&lt;=$E13+$F13-1),2,IF(AND($C13="Jalon",AP$7&gt;=$E13,AP$7&lt;=$E13+$F13-1),1,""))</f>
      </c>
      <c r="AQ13" s="61">
        <f>IF(AND($C13="Objectif",AQ$7&gt;=$E13,AQ$7&lt;=$E13+$F13-1),2,IF(AND($C13="Jalon",AQ$7&gt;=$E13,AQ$7&lt;=$E13+$F13-1),1,""))</f>
      </c>
      <c r="AR13" s="61">
        <f>IF(AND($C13="Objectif",AR$7&gt;=$E13,AR$7&lt;=$E13+$F13-1),2,IF(AND($C13="Jalon",AR$7&gt;=$E13,AR$7&lt;=$E13+$F13-1),1,""))</f>
      </c>
      <c r="AS13" s="61">
        <f>IF(AND($C13="Objectif",AS$7&gt;=$E13,AS$7&lt;=$E13+$F13-1),2,IF(AND($C13="Jalon",AS$7&gt;=$E13,AS$7&lt;=$E13+$F13-1),1,""))</f>
      </c>
      <c r="AT13" s="61">
        <f>IF(AND($C13="Objectif",AT$7&gt;=$E13,AT$7&lt;=$E13+$F13-1),2,IF(AND($C13="Jalon",AT$7&gt;=$E13,AT$7&lt;=$E13+$F13-1),1,""))</f>
      </c>
      <c r="AU13" s="61">
        <f>IF(AND($C13="Objectif",AU$7&gt;=$E13,AU$7&lt;=$E13+$F13-1),2,IF(AND($C13="Jalon",AU$7&gt;=$E13,AU$7&lt;=$E13+$F13-1),1,""))</f>
      </c>
      <c r="AV13" s="61">
        <f>IF(AND($C13="Objectif",AV$7&gt;=$E13,AV$7&lt;=$E13+$F13-1),2,IF(AND($C13="Jalon",AV$7&gt;=$E13,AV$7&lt;=$E13+$F13-1),1,""))</f>
      </c>
      <c r="AW13" s="61">
        <f>IF(AND($C13="Objectif",AW$7&gt;=$E13,AW$7&lt;=$E13+$F13-1),2,IF(AND($C13="Jalon",AW$7&gt;=$E13,AW$7&lt;=$E13+$F13-1),1,""))</f>
      </c>
      <c r="AX13" s="61">
        <f>IF(AND($C13="Objectif",AX$7&gt;=$E13,AX$7&lt;=$E13+$F13-1),2,IF(AND($C13="Jalon",AX$7&gt;=$E13,AX$7&lt;=$E13+$F13-1),1,""))</f>
      </c>
      <c r="AY13" s="61">
        <f>IF(AND($C13="Objectif",AY$7&gt;=$E13,AY$7&lt;=$E13+$F13-1),2,IF(AND($C13="Jalon",AY$7&gt;=$E13,AY$7&lt;=$E13+$F13-1),1,""))</f>
      </c>
      <c r="AZ13" s="61">
        <f>IF(AND($C13="Objectif",AZ$7&gt;=$E13,AZ$7&lt;=$E13+$F13-1),2,IF(AND($C13="Jalon",AZ$7&gt;=$E13,AZ$7&lt;=$E13+$F13-1),1,""))</f>
      </c>
      <c r="BA13" s="61">
        <f>IF(AND($C13="Objectif",BA$7&gt;=$E13,BA$7&lt;=$E13+$F13-1),2,IF(AND($C13="Jalon",BA$7&gt;=$E13,BA$7&lt;=$E13+$F13-1),1,""))</f>
      </c>
      <c r="BB13" s="61">
        <f>IF(AND($C13="Objectif",BB$7&gt;=$E13,BB$7&lt;=$E13+$F13-1),2,IF(AND($C13="Jalon",BB$7&gt;=$E13,BB$7&lt;=$E13+$F13-1),1,""))</f>
      </c>
      <c r="BC13" s="61">
        <f>IF(AND($C13="Objectif",BC$7&gt;=$E13,BC$7&lt;=$E13+$F13-1),2,IF(AND($C13="Jalon",BC$7&gt;=$E13,BC$7&lt;=$E13+$F13-1),1,""))</f>
      </c>
      <c r="BD13" s="61">
        <f>IF(AND($C13="Objectif",BD$7&gt;=$E13,BD$7&lt;=$E13+$F13-1),2,IF(AND($C13="Jalon",BD$7&gt;=$E13,BD$7&lt;=$E13+$F13-1),1,""))</f>
      </c>
      <c r="BE13" s="61">
        <f>IF(AND($C13="Objectif",BE$7&gt;=$E13,BE$7&lt;=$E13+$F13-1),2,IF(AND($C13="Jalon",BE$7&gt;=$E13,BE$7&lt;=$E13+$F13-1),1,""))</f>
      </c>
      <c r="BF13" s="61">
        <f>IF(AND($C13="Objectif",BF$7&gt;=$E13,BF$7&lt;=$E13+$F13-1),2,IF(AND($C13="Jalon",BF$7&gt;=$E13,BF$7&lt;=$E13+$F13-1),1,""))</f>
      </c>
      <c r="BG13" s="61">
        <f>IF(AND($C13="Objectif",BG$7&gt;=$E13,BG$7&lt;=$E13+$F13-1),2,IF(AND($C13="Jalon",BG$7&gt;=$E13,BG$7&lt;=$E13+$F13-1),1,""))</f>
      </c>
      <c r="BH13" s="61">
        <f>IF(AND($C13="Objectif",BH$7&gt;=$E13,BH$7&lt;=$E13+$F13-1),2,IF(AND($C13="Jalon",BH$7&gt;=$E13,BH$7&lt;=$E13+$F13-1),1,""))</f>
      </c>
      <c r="BI13" s="61">
        <f>IF(AND($C13="Objectif",BI$7&gt;=$E13,BI$7&lt;=$E13+$F13-1),2,IF(AND($C13="Jalon",BI$7&gt;=$E13,BI$7&lt;=$E13+$F13-1),1,""))</f>
      </c>
      <c r="BJ13" s="61">
        <f>IF(AND($C13="Objectif",BJ$7&gt;=$E13,BJ$7&lt;=$E13+$F13-1),2,IF(AND($C13="Jalon",BJ$7&gt;=$E13,BJ$7&lt;=$E13+$F13-1),1,""))</f>
      </c>
      <c r="BK13" s="61">
        <f>IF(AND($C13="Objectif",BK$7&gt;=$E13,BK$7&lt;=$E13+$F13-1),2,IF(AND($C13="Jalon",BK$7&gt;=$E13,BK$7&lt;=$E13+$F13-1),1,""))</f>
      </c>
      <c r="BL13" s="1"/>
      <c r="BM13" s="1"/>
      <c r="BN13" s="1"/>
      <c r="BO13" s="1"/>
    </row>
    <row x14ac:dyDescent="0.25" r="14" customHeight="1" ht="33">
      <c r="A14" s="64"/>
      <c r="B14" s="63" t="s">
        <v>20</v>
      </c>
      <c r="C14" s="58" t="s">
        <v>5</v>
      </c>
      <c r="D14" s="59">
        <v>0.8</v>
      </c>
      <c r="E14" s="26">
        <f>E13+F13</f>
        <v>25569.125</v>
      </c>
      <c r="F14" s="58">
        <v>20</v>
      </c>
      <c r="G14" s="60"/>
      <c r="H14" s="61">
        <f>IF(AND($C14="Objectif",H$7&gt;=$E14,H$7&lt;=$E14+$F14-1),2,IF(AND($C14="Jalon",H$7&gt;=$E14,H$7&lt;=$E14+$F14-1),1,""))</f>
      </c>
      <c r="I14" s="61">
        <f>IF(AND($C14="Objectif",I$7&gt;=$E14,I$7&lt;=$E14+$F14-1),2,IF(AND($C14="Jalon",I$7&gt;=$E14,I$7&lt;=$E14+$F14-1),1,""))</f>
      </c>
      <c r="J14" s="61">
        <f>IF(AND($C14="Objectif",J$7&gt;=$E14,J$7&lt;=$E14+$F14-1),2,IF(AND($C14="Jalon",J$7&gt;=$E14,J$7&lt;=$E14+$F14-1),1,""))</f>
      </c>
      <c r="K14" s="61">
        <f>IF(AND($C14="Objectif",K$7&gt;=$E14,K$7&lt;=$E14+$F14-1),2,IF(AND($C14="Jalon",K$7&gt;=$E14,K$7&lt;=$E14+$F14-1),1,""))</f>
      </c>
      <c r="L14" s="61">
        <f>IF(AND($C14="Objectif",L$7&gt;=$E14,L$7&lt;=$E14+$F14-1),2,IF(AND($C14="Jalon",L$7&gt;=$E14,L$7&lt;=$E14+$F14-1),1,""))</f>
      </c>
      <c r="M14" s="61">
        <f>IF(AND($C14="Objectif",M$7&gt;=$E14,M$7&lt;=$E14+$F14-1),2,IF(AND($C14="Jalon",M$7&gt;=$E14,M$7&lt;=$E14+$F14-1),1,""))</f>
      </c>
      <c r="N14" s="61">
        <f>IF(AND($C14="Objectif",N$7&gt;=$E14,N$7&lt;=$E14+$F14-1),2,IF(AND($C14="Jalon",N$7&gt;=$E14,N$7&lt;=$E14+$F14-1),1,""))</f>
      </c>
      <c r="O14" s="61">
        <f>IF(AND($C14="Objectif",O$7&gt;=$E14,O$7&lt;=$E14+$F14-1),2,IF(AND($C14="Jalon",O$7&gt;=$E14,O$7&lt;=$E14+$F14-1),1,""))</f>
      </c>
      <c r="P14" s="61">
        <f>IF(AND($C14="Objectif",P$7&gt;=$E14,P$7&lt;=$E14+$F14-1),2,IF(AND($C14="Jalon",P$7&gt;=$E14,P$7&lt;=$E14+$F14-1),1,""))</f>
      </c>
      <c r="Q14" s="61">
        <f>IF(AND($C14="Objectif",Q$7&gt;=$E14,Q$7&lt;=$E14+$F14-1),2,IF(AND($C14="Jalon",Q$7&gt;=$E14,Q$7&lt;=$E14+$F14-1),1,""))</f>
      </c>
      <c r="R14" s="61">
        <f>IF(AND($C14="Objectif",R$7&gt;=$E14,R$7&lt;=$E14+$F14-1),2,IF(AND($C14="Jalon",R$7&gt;=$E14,R$7&lt;=$E14+$F14-1),1,""))</f>
      </c>
      <c r="S14" s="61">
        <f>IF(AND($C14="Objectif",S$7&gt;=$E14,S$7&lt;=$E14+$F14-1),2,IF(AND($C14="Jalon",S$7&gt;=$E14,S$7&lt;=$E14+$F14-1),1,""))</f>
      </c>
      <c r="T14" s="61">
        <f>IF(AND($C14="Objectif",T$7&gt;=$E14,T$7&lt;=$E14+$F14-1),2,IF(AND($C14="Jalon",T$7&gt;=$E14,T$7&lt;=$E14+$F14-1),1,""))</f>
      </c>
      <c r="U14" s="61">
        <f>IF(AND($C14="Objectif",U$7&gt;=$E14,U$7&lt;=$E14+$F14-1),2,IF(AND($C14="Jalon",U$7&gt;=$E14,U$7&lt;=$E14+$F14-1),1,""))</f>
      </c>
      <c r="V14" s="61">
        <f>IF(AND($C14="Objectif",V$7&gt;=$E14,V$7&lt;=$E14+$F14-1),2,IF(AND($C14="Jalon",V$7&gt;=$E14,V$7&lt;=$E14+$F14-1),1,""))</f>
      </c>
      <c r="W14" s="61">
        <f>IF(AND($C14="Objectif",W$7&gt;=$E14,W$7&lt;=$E14+$F14-1),2,IF(AND($C14="Jalon",W$7&gt;=$E14,W$7&lt;=$E14+$F14-1),1,""))</f>
      </c>
      <c r="X14" s="61">
        <f>IF(AND($C14="Objectif",X$7&gt;=$E14,X$7&lt;=$E14+$F14-1),2,IF(AND($C14="Jalon",X$7&gt;=$E14,X$7&lt;=$E14+$F14-1),1,""))</f>
      </c>
      <c r="Y14" s="61">
        <f>IF(AND($C14="Objectif",Y$7&gt;=$E14,Y$7&lt;=$E14+$F14-1),2,IF(AND($C14="Jalon",Y$7&gt;=$E14,Y$7&lt;=$E14+$F14-1),1,""))</f>
      </c>
      <c r="Z14" s="61">
        <f>IF(AND($C14="Objectif",Z$7&gt;=$E14,Z$7&lt;=$E14+$F14-1),2,IF(AND($C14="Jalon",Z$7&gt;=$E14,Z$7&lt;=$E14+$F14-1),1,""))</f>
      </c>
      <c r="AA14" s="61">
        <f>IF(AND($C14="Objectif",AA$7&gt;=$E14,AA$7&lt;=$E14+$F14-1),2,IF(AND($C14="Jalon",AA$7&gt;=$E14,AA$7&lt;=$E14+$F14-1),1,""))</f>
      </c>
      <c r="AB14" s="61">
        <f>IF(AND($C14="Objectif",AB$7&gt;=$E14,AB$7&lt;=$E14+$F14-1),2,IF(AND($C14="Jalon",AB$7&gt;=$E14,AB$7&lt;=$E14+$F14-1),1,""))</f>
      </c>
      <c r="AC14" s="61">
        <f>IF(AND($C14="Objectif",AC$7&gt;=$E14,AC$7&lt;=$E14+$F14-1),2,IF(AND($C14="Jalon",AC$7&gt;=$E14,AC$7&lt;=$E14+$F14-1),1,""))</f>
      </c>
      <c r="AD14" s="61">
        <f>IF(AND($C14="Objectif",AD$7&gt;=$E14,AD$7&lt;=$E14+$F14-1),2,IF(AND($C14="Jalon",AD$7&gt;=$E14,AD$7&lt;=$E14+$F14-1),1,""))</f>
      </c>
      <c r="AE14" s="61">
        <f>IF(AND($C14="Objectif",AE$7&gt;=$E14,AE$7&lt;=$E14+$F14-1),2,IF(AND($C14="Jalon",AE$7&gt;=$E14,AE$7&lt;=$E14+$F14-1),1,""))</f>
      </c>
      <c r="AF14" s="61">
        <f>IF(AND($C14="Objectif",AF$7&gt;=$E14,AF$7&lt;=$E14+$F14-1),2,IF(AND($C14="Jalon",AF$7&gt;=$E14,AF$7&lt;=$E14+$F14-1),1,""))</f>
      </c>
      <c r="AG14" s="61">
        <f>IF(AND($C14="Objectif",AG$7&gt;=$E14,AG$7&lt;=$E14+$F14-1),2,IF(AND($C14="Jalon",AG$7&gt;=$E14,AG$7&lt;=$E14+$F14-1),1,""))</f>
      </c>
      <c r="AH14" s="61">
        <f>IF(AND($C14="Objectif",AH$7&gt;=$E14,AH$7&lt;=$E14+$F14-1),2,IF(AND($C14="Jalon",AH$7&gt;=$E14,AH$7&lt;=$E14+$F14-1),1,""))</f>
      </c>
      <c r="AI14" s="61">
        <f>IF(AND($C14="Objectif",AI$7&gt;=$E14,AI$7&lt;=$E14+$F14-1),2,IF(AND($C14="Jalon",AI$7&gt;=$E14,AI$7&lt;=$E14+$F14-1),1,""))</f>
      </c>
      <c r="AJ14" s="61">
        <f>IF(AND($C14="Objectif",AJ$7&gt;=$E14,AJ$7&lt;=$E14+$F14-1),2,IF(AND($C14="Jalon",AJ$7&gt;=$E14,AJ$7&lt;=$E14+$F14-1),1,""))</f>
      </c>
      <c r="AK14" s="61">
        <f>IF(AND($C14="Objectif",AK$7&gt;=$E14,AK$7&lt;=$E14+$F14-1),2,IF(AND($C14="Jalon",AK$7&gt;=$E14,AK$7&lt;=$E14+$F14-1),1,""))</f>
      </c>
      <c r="AL14" s="61">
        <f>IF(AND($C14="Objectif",AL$7&gt;=$E14,AL$7&lt;=$E14+$F14-1),2,IF(AND($C14="Jalon",AL$7&gt;=$E14,AL$7&lt;=$E14+$F14-1),1,""))</f>
      </c>
      <c r="AM14" s="61">
        <f>IF(AND($C14="Objectif",AM$7&gt;=$E14,AM$7&lt;=$E14+$F14-1),2,IF(AND($C14="Jalon",AM$7&gt;=$E14,AM$7&lt;=$E14+$F14-1),1,""))</f>
      </c>
      <c r="AN14" s="61">
        <f>IF(AND($C14="Objectif",AN$7&gt;=$E14,AN$7&lt;=$E14+$F14-1),2,IF(AND($C14="Jalon",AN$7&gt;=$E14,AN$7&lt;=$E14+$F14-1),1,""))</f>
      </c>
      <c r="AO14" s="61">
        <f>IF(AND($C14="Objectif",AO$7&gt;=$E14,AO$7&lt;=$E14+$F14-1),2,IF(AND($C14="Jalon",AO$7&gt;=$E14,AO$7&lt;=$E14+$F14-1),1,""))</f>
      </c>
      <c r="AP14" s="61">
        <f>IF(AND($C14="Objectif",AP$7&gt;=$E14,AP$7&lt;=$E14+$F14-1),2,IF(AND($C14="Jalon",AP$7&gt;=$E14,AP$7&lt;=$E14+$F14-1),1,""))</f>
      </c>
      <c r="AQ14" s="61">
        <f>IF(AND($C14="Objectif",AQ$7&gt;=$E14,AQ$7&lt;=$E14+$F14-1),2,IF(AND($C14="Jalon",AQ$7&gt;=$E14,AQ$7&lt;=$E14+$F14-1),1,""))</f>
      </c>
      <c r="AR14" s="61">
        <f>IF(AND($C14="Objectif",AR$7&gt;=$E14,AR$7&lt;=$E14+$F14-1),2,IF(AND($C14="Jalon",AR$7&gt;=$E14,AR$7&lt;=$E14+$F14-1),1,""))</f>
      </c>
      <c r="AS14" s="61">
        <f>IF(AND($C14="Objectif",AS$7&gt;=$E14,AS$7&lt;=$E14+$F14-1),2,IF(AND($C14="Jalon",AS$7&gt;=$E14,AS$7&lt;=$E14+$F14-1),1,""))</f>
      </c>
      <c r="AT14" s="61">
        <f>IF(AND($C14="Objectif",AT$7&gt;=$E14,AT$7&lt;=$E14+$F14-1),2,IF(AND($C14="Jalon",AT$7&gt;=$E14,AT$7&lt;=$E14+$F14-1),1,""))</f>
      </c>
      <c r="AU14" s="61">
        <f>IF(AND($C14="Objectif",AU$7&gt;=$E14,AU$7&lt;=$E14+$F14-1),2,IF(AND($C14="Jalon",AU$7&gt;=$E14,AU$7&lt;=$E14+$F14-1),1,""))</f>
      </c>
      <c r="AV14" s="61">
        <f>IF(AND($C14="Objectif",AV$7&gt;=$E14,AV$7&lt;=$E14+$F14-1),2,IF(AND($C14="Jalon",AV$7&gt;=$E14,AV$7&lt;=$E14+$F14-1),1,""))</f>
      </c>
      <c r="AW14" s="61">
        <f>IF(AND($C14="Objectif",AW$7&gt;=$E14,AW$7&lt;=$E14+$F14-1),2,IF(AND($C14="Jalon",AW$7&gt;=$E14,AW$7&lt;=$E14+$F14-1),1,""))</f>
      </c>
      <c r="AX14" s="61">
        <f>IF(AND($C14="Objectif",AX$7&gt;=$E14,AX$7&lt;=$E14+$F14-1),2,IF(AND($C14="Jalon",AX$7&gt;=$E14,AX$7&lt;=$E14+$F14-1),1,""))</f>
      </c>
      <c r="AY14" s="61">
        <f>IF(AND($C14="Objectif",AY$7&gt;=$E14,AY$7&lt;=$E14+$F14-1),2,IF(AND($C14="Jalon",AY$7&gt;=$E14,AY$7&lt;=$E14+$F14-1),1,""))</f>
      </c>
      <c r="AZ14" s="61">
        <f>IF(AND($C14="Objectif",AZ$7&gt;=$E14,AZ$7&lt;=$E14+$F14-1),2,IF(AND($C14="Jalon",AZ$7&gt;=$E14,AZ$7&lt;=$E14+$F14-1),1,""))</f>
      </c>
      <c r="BA14" s="61">
        <f>IF(AND($C14="Objectif",BA$7&gt;=$E14,BA$7&lt;=$E14+$F14-1),2,IF(AND($C14="Jalon",BA$7&gt;=$E14,BA$7&lt;=$E14+$F14-1),1,""))</f>
      </c>
      <c r="BB14" s="61">
        <f>IF(AND($C14="Objectif",BB$7&gt;=$E14,BB$7&lt;=$E14+$F14-1),2,IF(AND($C14="Jalon",BB$7&gt;=$E14,BB$7&lt;=$E14+$F14-1),1,""))</f>
      </c>
      <c r="BC14" s="61">
        <f>IF(AND($C14="Objectif",BC$7&gt;=$E14,BC$7&lt;=$E14+$F14-1),2,IF(AND($C14="Jalon",BC$7&gt;=$E14,BC$7&lt;=$E14+$F14-1),1,""))</f>
      </c>
      <c r="BD14" s="61">
        <f>IF(AND($C14="Objectif",BD$7&gt;=$E14,BD$7&lt;=$E14+$F14-1),2,IF(AND($C14="Jalon",BD$7&gt;=$E14,BD$7&lt;=$E14+$F14-1),1,""))</f>
      </c>
      <c r="BE14" s="61">
        <f>IF(AND($C14="Objectif",BE$7&gt;=$E14,BE$7&lt;=$E14+$F14-1),2,IF(AND($C14="Jalon",BE$7&gt;=$E14,BE$7&lt;=$E14+$F14-1),1,""))</f>
      </c>
      <c r="BF14" s="61">
        <f>IF(AND($C14="Objectif",BF$7&gt;=$E14,BF$7&lt;=$E14+$F14-1),2,IF(AND($C14="Jalon",BF$7&gt;=$E14,BF$7&lt;=$E14+$F14-1),1,""))</f>
      </c>
      <c r="BG14" s="61">
        <f>IF(AND($C14="Objectif",BG$7&gt;=$E14,BG$7&lt;=$E14+$F14-1),2,IF(AND($C14="Jalon",BG$7&gt;=$E14,BG$7&lt;=$E14+$F14-1),1,""))</f>
      </c>
      <c r="BH14" s="61">
        <f>IF(AND($C14="Objectif",BH$7&gt;=$E14,BH$7&lt;=$E14+$F14-1),2,IF(AND($C14="Jalon",BH$7&gt;=$E14,BH$7&lt;=$E14+$F14-1),1,""))</f>
      </c>
      <c r="BI14" s="61">
        <f>IF(AND($C14="Objectif",BI$7&gt;=$E14,BI$7&lt;=$E14+$F14-1),2,IF(AND($C14="Jalon",BI$7&gt;=$E14,BI$7&lt;=$E14+$F14-1),1,""))</f>
      </c>
      <c r="BJ14" s="61">
        <f>IF(AND($C14="Objectif",BJ$7&gt;=$E14,BJ$7&lt;=$E14+$F14-1),2,IF(AND($C14="Jalon",BJ$7&gt;=$E14,BJ$7&lt;=$E14+$F14-1),1,""))</f>
      </c>
      <c r="BK14" s="61">
        <f>IF(AND($C14="Objectif",BK$7&gt;=$E14,BK$7&lt;=$E14+$F14-1),2,IF(AND($C14="Jalon",BK$7&gt;=$E14,BK$7&lt;=$E14+$F14-1),1,""))</f>
      </c>
      <c r="BL14" s="1"/>
      <c r="BM14" s="1"/>
      <c r="BN14" s="1"/>
      <c r="BO14" s="1"/>
    </row>
    <row x14ac:dyDescent="0.25" r="15" customHeight="1" ht="19.5">
      <c r="A15" s="64"/>
      <c r="B15" s="63" t="s">
        <v>21</v>
      </c>
      <c r="C15" s="58" t="s">
        <v>3</v>
      </c>
      <c r="D15" s="59">
        <v>0.6</v>
      </c>
      <c r="E15" s="26">
        <f>E14+F14</f>
        <v>25569.125</v>
      </c>
      <c r="F15" s="58">
        <v>3</v>
      </c>
      <c r="G15" s="60"/>
      <c r="H15" s="61">
        <f>IF(AND($C15="Objectif",H$7&gt;=$E15,H$7&lt;=$E15+$F15-1),2,IF(AND($C15="Jalon",H$7&gt;=$E15,H$7&lt;=$E15+$F15-1),1,""))</f>
      </c>
      <c r="I15" s="61">
        <f>IF(AND($C15="Objectif",I$7&gt;=$E15,I$7&lt;=$E15+$F15-1),2,IF(AND($C15="Jalon",I$7&gt;=$E15,I$7&lt;=$E15+$F15-1),1,""))</f>
      </c>
      <c r="J15" s="61">
        <f>IF(AND($C15="Objectif",J$7&gt;=$E15,J$7&lt;=$E15+$F15-1),2,IF(AND($C15="Jalon",J$7&gt;=$E15,J$7&lt;=$E15+$F15-1),1,""))</f>
      </c>
      <c r="K15" s="61">
        <f>IF(AND($C15="Objectif",K$7&gt;=$E15,K$7&lt;=$E15+$F15-1),2,IF(AND($C15="Jalon",K$7&gt;=$E15,K$7&lt;=$E15+$F15-1),1,""))</f>
      </c>
      <c r="L15" s="61">
        <f>IF(AND($C15="Objectif",L$7&gt;=$E15,L$7&lt;=$E15+$F15-1),2,IF(AND($C15="Jalon",L$7&gt;=$E15,L$7&lt;=$E15+$F15-1),1,""))</f>
      </c>
      <c r="M15" s="61">
        <f>IF(AND($C15="Objectif",M$7&gt;=$E15,M$7&lt;=$E15+$F15-1),2,IF(AND($C15="Jalon",M$7&gt;=$E15,M$7&lt;=$E15+$F15-1),1,""))</f>
      </c>
      <c r="N15" s="61">
        <f>IF(AND($C15="Objectif",N$7&gt;=$E15,N$7&lt;=$E15+$F15-1),2,IF(AND($C15="Jalon",N$7&gt;=$E15,N$7&lt;=$E15+$F15-1),1,""))</f>
      </c>
      <c r="O15" s="61">
        <f>IF(AND($C15="Objectif",O$7&gt;=$E15,O$7&lt;=$E15+$F15-1),2,IF(AND($C15="Jalon",O$7&gt;=$E15,O$7&lt;=$E15+$F15-1),1,""))</f>
      </c>
      <c r="P15" s="61">
        <f>IF(AND($C15="Objectif",P$7&gt;=$E15,P$7&lt;=$E15+$F15-1),2,IF(AND($C15="Jalon",P$7&gt;=$E15,P$7&lt;=$E15+$F15-1),1,""))</f>
      </c>
      <c r="Q15" s="61">
        <f>IF(AND($C15="Objectif",Q$7&gt;=$E15,Q$7&lt;=$E15+$F15-1),2,IF(AND($C15="Jalon",Q$7&gt;=$E15,Q$7&lt;=$E15+$F15-1),1,""))</f>
      </c>
      <c r="R15" s="61">
        <f>IF(AND($C15="Objectif",R$7&gt;=$E15,R$7&lt;=$E15+$F15-1),2,IF(AND($C15="Jalon",R$7&gt;=$E15,R$7&lt;=$E15+$F15-1),1,""))</f>
      </c>
      <c r="S15" s="61">
        <f>IF(AND($C15="Objectif",S$7&gt;=$E15,S$7&lt;=$E15+$F15-1),2,IF(AND($C15="Jalon",S$7&gt;=$E15,S$7&lt;=$E15+$F15-1),1,""))</f>
      </c>
      <c r="T15" s="61">
        <f>IF(AND($C15="Objectif",T$7&gt;=$E15,T$7&lt;=$E15+$F15-1),2,IF(AND($C15="Jalon",T$7&gt;=$E15,T$7&lt;=$E15+$F15-1),1,""))</f>
      </c>
      <c r="U15" s="61">
        <f>IF(AND($C15="Objectif",U$7&gt;=$E15,U$7&lt;=$E15+$F15-1),2,IF(AND($C15="Jalon",U$7&gt;=$E15,U$7&lt;=$E15+$F15-1),1,""))</f>
      </c>
      <c r="V15" s="61">
        <f>IF(AND($C15="Objectif",V$7&gt;=$E15,V$7&lt;=$E15+$F15-1),2,IF(AND($C15="Jalon",V$7&gt;=$E15,V$7&lt;=$E15+$F15-1),1,""))</f>
      </c>
      <c r="W15" s="61">
        <f>IF(AND($C15="Objectif",W$7&gt;=$E15,W$7&lt;=$E15+$F15-1),2,IF(AND($C15="Jalon",W$7&gt;=$E15,W$7&lt;=$E15+$F15-1),1,""))</f>
      </c>
      <c r="X15" s="61">
        <f>IF(AND($C15="Objectif",X$7&gt;=$E15,X$7&lt;=$E15+$F15-1),2,IF(AND($C15="Jalon",X$7&gt;=$E15,X$7&lt;=$E15+$F15-1),1,""))</f>
      </c>
      <c r="Y15" s="61">
        <f>IF(AND($C15="Objectif",Y$7&gt;=$E15,Y$7&lt;=$E15+$F15-1),2,IF(AND($C15="Jalon",Y$7&gt;=$E15,Y$7&lt;=$E15+$F15-1),1,""))</f>
      </c>
      <c r="Z15" s="61">
        <f>IF(AND($C15="Objectif",Z$7&gt;=$E15,Z$7&lt;=$E15+$F15-1),2,IF(AND($C15="Jalon",Z$7&gt;=$E15,Z$7&lt;=$E15+$F15-1),1,""))</f>
      </c>
      <c r="AA15" s="61">
        <f>IF(AND($C15="Objectif",AA$7&gt;=$E15,AA$7&lt;=$E15+$F15-1),2,IF(AND($C15="Jalon",AA$7&gt;=$E15,AA$7&lt;=$E15+$F15-1),1,""))</f>
      </c>
      <c r="AB15" s="61">
        <f>IF(AND($C15="Objectif",AB$7&gt;=$E15,AB$7&lt;=$E15+$F15-1),2,IF(AND($C15="Jalon",AB$7&gt;=$E15,AB$7&lt;=$E15+$F15-1),1,""))</f>
      </c>
      <c r="AC15" s="61">
        <f>IF(AND($C15="Objectif",AC$7&gt;=$E15,AC$7&lt;=$E15+$F15-1),2,IF(AND($C15="Jalon",AC$7&gt;=$E15,AC$7&lt;=$E15+$F15-1),1,""))</f>
      </c>
      <c r="AD15" s="61">
        <f>IF(AND($C15="Objectif",AD$7&gt;=$E15,AD$7&lt;=$E15+$F15-1),2,IF(AND($C15="Jalon",AD$7&gt;=$E15,AD$7&lt;=$E15+$F15-1),1,""))</f>
      </c>
      <c r="AE15" s="61">
        <f>IF(AND($C15="Objectif",AE$7&gt;=$E15,AE$7&lt;=$E15+$F15-1),2,IF(AND($C15="Jalon",AE$7&gt;=$E15,AE$7&lt;=$E15+$F15-1),1,""))</f>
      </c>
      <c r="AF15" s="61">
        <f>IF(AND($C15="Objectif",AF$7&gt;=$E15,AF$7&lt;=$E15+$F15-1),2,IF(AND($C15="Jalon",AF$7&gt;=$E15,AF$7&lt;=$E15+$F15-1),1,""))</f>
      </c>
      <c r="AG15" s="61">
        <f>IF(AND($C15="Objectif",AG$7&gt;=$E15,AG$7&lt;=$E15+$F15-1),2,IF(AND($C15="Jalon",AG$7&gt;=$E15,AG$7&lt;=$E15+$F15-1),1,""))</f>
      </c>
      <c r="AH15" s="61">
        <f>IF(AND($C15="Objectif",AH$7&gt;=$E15,AH$7&lt;=$E15+$F15-1),2,IF(AND($C15="Jalon",AH$7&gt;=$E15,AH$7&lt;=$E15+$F15-1),1,""))</f>
      </c>
      <c r="AI15" s="61">
        <f>IF(AND($C15="Objectif",AI$7&gt;=$E15,AI$7&lt;=$E15+$F15-1),2,IF(AND($C15="Jalon",AI$7&gt;=$E15,AI$7&lt;=$E15+$F15-1),1,""))</f>
      </c>
      <c r="AJ15" s="61">
        <f>IF(AND($C15="Objectif",AJ$7&gt;=$E15,AJ$7&lt;=$E15+$F15-1),2,IF(AND($C15="Jalon",AJ$7&gt;=$E15,AJ$7&lt;=$E15+$F15-1),1,""))</f>
      </c>
      <c r="AK15" s="61">
        <f>IF(AND($C15="Objectif",AK$7&gt;=$E15,AK$7&lt;=$E15+$F15-1),2,IF(AND($C15="Jalon",AK$7&gt;=$E15,AK$7&lt;=$E15+$F15-1),1,""))</f>
      </c>
      <c r="AL15" s="61">
        <f>IF(AND($C15="Objectif",AL$7&gt;=$E15,AL$7&lt;=$E15+$F15-1),2,IF(AND($C15="Jalon",AL$7&gt;=$E15,AL$7&lt;=$E15+$F15-1),1,""))</f>
      </c>
      <c r="AM15" s="61">
        <f>IF(AND($C15="Objectif",AM$7&gt;=$E15,AM$7&lt;=$E15+$F15-1),2,IF(AND($C15="Jalon",AM$7&gt;=$E15,AM$7&lt;=$E15+$F15-1),1,""))</f>
      </c>
      <c r="AN15" s="61">
        <f>IF(AND($C15="Objectif",AN$7&gt;=$E15,AN$7&lt;=$E15+$F15-1),2,IF(AND($C15="Jalon",AN$7&gt;=$E15,AN$7&lt;=$E15+$F15-1),1,""))</f>
      </c>
      <c r="AO15" s="61">
        <f>IF(AND($C15="Objectif",AO$7&gt;=$E15,AO$7&lt;=$E15+$F15-1),2,IF(AND($C15="Jalon",AO$7&gt;=$E15,AO$7&lt;=$E15+$F15-1),1,""))</f>
      </c>
      <c r="AP15" s="61">
        <f>IF(AND($C15="Objectif",AP$7&gt;=$E15,AP$7&lt;=$E15+$F15-1),2,IF(AND($C15="Jalon",AP$7&gt;=$E15,AP$7&lt;=$E15+$F15-1),1,""))</f>
      </c>
      <c r="AQ15" s="61">
        <f>IF(AND($C15="Objectif",AQ$7&gt;=$E15,AQ$7&lt;=$E15+$F15-1),2,IF(AND($C15="Jalon",AQ$7&gt;=$E15,AQ$7&lt;=$E15+$F15-1),1,""))</f>
      </c>
      <c r="AR15" s="61">
        <f>IF(AND($C15="Objectif",AR$7&gt;=$E15,AR$7&lt;=$E15+$F15-1),2,IF(AND($C15="Jalon",AR$7&gt;=$E15,AR$7&lt;=$E15+$F15-1),1,""))</f>
      </c>
      <c r="AS15" s="61">
        <f>IF(AND($C15="Objectif",AS$7&gt;=$E15,AS$7&lt;=$E15+$F15-1),2,IF(AND($C15="Jalon",AS$7&gt;=$E15,AS$7&lt;=$E15+$F15-1),1,""))</f>
      </c>
      <c r="AT15" s="61">
        <f>IF(AND($C15="Objectif",AT$7&gt;=$E15,AT$7&lt;=$E15+$F15-1),2,IF(AND($C15="Jalon",AT$7&gt;=$E15,AT$7&lt;=$E15+$F15-1),1,""))</f>
      </c>
      <c r="AU15" s="61">
        <f>IF(AND($C15="Objectif",AU$7&gt;=$E15,AU$7&lt;=$E15+$F15-1),2,IF(AND($C15="Jalon",AU$7&gt;=$E15,AU$7&lt;=$E15+$F15-1),1,""))</f>
      </c>
      <c r="AV15" s="61">
        <f>IF(AND($C15="Objectif",AV$7&gt;=$E15,AV$7&lt;=$E15+$F15-1),2,IF(AND($C15="Jalon",AV$7&gt;=$E15,AV$7&lt;=$E15+$F15-1),1,""))</f>
      </c>
      <c r="AW15" s="61">
        <f>IF(AND($C15="Objectif",AW$7&gt;=$E15,AW$7&lt;=$E15+$F15-1),2,IF(AND($C15="Jalon",AW$7&gt;=$E15,AW$7&lt;=$E15+$F15-1),1,""))</f>
      </c>
      <c r="AX15" s="61">
        <f>IF(AND($C15="Objectif",AX$7&gt;=$E15,AX$7&lt;=$E15+$F15-1),2,IF(AND($C15="Jalon",AX$7&gt;=$E15,AX$7&lt;=$E15+$F15-1),1,""))</f>
      </c>
      <c r="AY15" s="61">
        <f>IF(AND($C15="Objectif",AY$7&gt;=$E15,AY$7&lt;=$E15+$F15-1),2,IF(AND($C15="Jalon",AY$7&gt;=$E15,AY$7&lt;=$E15+$F15-1),1,""))</f>
      </c>
      <c r="AZ15" s="61">
        <f>IF(AND($C15="Objectif",AZ$7&gt;=$E15,AZ$7&lt;=$E15+$F15-1),2,IF(AND($C15="Jalon",AZ$7&gt;=$E15,AZ$7&lt;=$E15+$F15-1),1,""))</f>
      </c>
      <c r="BA15" s="61">
        <f>IF(AND($C15="Objectif",BA$7&gt;=$E15,BA$7&lt;=$E15+$F15-1),2,IF(AND($C15="Jalon",BA$7&gt;=$E15,BA$7&lt;=$E15+$F15-1),1,""))</f>
      </c>
      <c r="BB15" s="61">
        <f>IF(AND($C15="Objectif",BB$7&gt;=$E15,BB$7&lt;=$E15+$F15-1),2,IF(AND($C15="Jalon",BB$7&gt;=$E15,BB$7&lt;=$E15+$F15-1),1,""))</f>
      </c>
      <c r="BC15" s="61">
        <f>IF(AND($C15="Objectif",BC$7&gt;=$E15,BC$7&lt;=$E15+$F15-1),2,IF(AND($C15="Jalon",BC$7&gt;=$E15,BC$7&lt;=$E15+$F15-1),1,""))</f>
      </c>
      <c r="BD15" s="61">
        <f>IF(AND($C15="Objectif",BD$7&gt;=$E15,BD$7&lt;=$E15+$F15-1),2,IF(AND($C15="Jalon",BD$7&gt;=$E15,BD$7&lt;=$E15+$F15-1),1,""))</f>
      </c>
      <c r="BE15" s="61">
        <f>IF(AND($C15="Objectif",BE$7&gt;=$E15,BE$7&lt;=$E15+$F15-1),2,IF(AND($C15="Jalon",BE$7&gt;=$E15,BE$7&lt;=$E15+$F15-1),1,""))</f>
      </c>
      <c r="BF15" s="61">
        <f>IF(AND($C15="Objectif",BF$7&gt;=$E15,BF$7&lt;=$E15+$F15-1),2,IF(AND($C15="Jalon",BF$7&gt;=$E15,BF$7&lt;=$E15+$F15-1),1,""))</f>
      </c>
      <c r="BG15" s="61">
        <f>IF(AND($C15="Objectif",BG$7&gt;=$E15,BG$7&lt;=$E15+$F15-1),2,IF(AND($C15="Jalon",BG$7&gt;=$E15,BG$7&lt;=$E15+$F15-1),1,""))</f>
      </c>
      <c r="BH15" s="61">
        <f>IF(AND($C15="Objectif",BH$7&gt;=$E15,BH$7&lt;=$E15+$F15-1),2,IF(AND($C15="Jalon",BH$7&gt;=$E15,BH$7&lt;=$E15+$F15-1),1,""))</f>
      </c>
      <c r="BI15" s="61">
        <f>IF(AND($C15="Objectif",BI$7&gt;=$E15,BI$7&lt;=$E15+$F15-1),2,IF(AND($C15="Jalon",BI$7&gt;=$E15,BI$7&lt;=$E15+$F15-1),1,""))</f>
      </c>
      <c r="BJ15" s="61">
        <f>IF(AND($C15="Objectif",BJ$7&gt;=$E15,BJ$7&lt;=$E15+$F15-1),2,IF(AND($C15="Jalon",BJ$7&gt;=$E15,BJ$7&lt;=$E15+$F15-1),1,""))</f>
      </c>
      <c r="BK15" s="61">
        <f>IF(AND($C15="Objectif",BK$7&gt;=$E15,BK$7&lt;=$E15+$F15-1),2,IF(AND($C15="Jalon",BK$7&gt;=$E15,BK$7&lt;=$E15+$F15-1),1,""))</f>
      </c>
      <c r="BL15" s="1"/>
      <c r="BM15" s="1"/>
      <c r="BN15" s="1"/>
      <c r="BO15" s="1"/>
    </row>
    <row x14ac:dyDescent="0.25" r="16" customHeight="1" ht="33">
      <c r="A16" s="64"/>
      <c r="B16" s="63" t="s">
        <v>22</v>
      </c>
      <c r="C16" s="58" t="s">
        <v>23</v>
      </c>
      <c r="D16" s="59">
        <v>1</v>
      </c>
      <c r="E16" s="26">
        <f>E15+F15</f>
        <v>25569.125</v>
      </c>
      <c r="F16" s="58">
        <v>1</v>
      </c>
      <c r="G16" s="60"/>
      <c r="H16" s="61">
        <f>IF(AND($C16="Objectif",H$7&gt;=$E16,H$7&lt;=$E16+$F16-1),2,IF(AND($C16="Jalon",H$7&gt;=$E16,H$7&lt;=$E16+$F16-1),1,""))</f>
      </c>
      <c r="I16" s="61">
        <f>IF(AND($C16="Objectif",I$7&gt;=$E16,I$7&lt;=$E16+$F16-1),2,IF(AND($C16="Jalon",I$7&gt;=$E16,I$7&lt;=$E16+$F16-1),1,""))</f>
      </c>
      <c r="J16" s="61">
        <f>IF(AND($C16="Objectif",J$7&gt;=$E16,J$7&lt;=$E16+$F16-1),2,IF(AND($C16="Jalon",J$7&gt;=$E16,J$7&lt;=$E16+$F16-1),1,""))</f>
      </c>
      <c r="K16" s="61">
        <f>IF(AND($C16="Objectif",K$7&gt;=$E16,K$7&lt;=$E16+$F16-1),2,IF(AND($C16="Jalon",K$7&gt;=$E16,K$7&lt;=$E16+$F16-1),1,""))</f>
      </c>
      <c r="L16" s="61">
        <f>IF(AND($C16="Objectif",L$7&gt;=$E16,L$7&lt;=$E16+$F16-1),2,IF(AND($C16="Jalon",L$7&gt;=$E16,L$7&lt;=$E16+$F16-1),1,""))</f>
      </c>
      <c r="M16" s="61">
        <f>IF(AND($C16="Objectif",M$7&gt;=$E16,M$7&lt;=$E16+$F16-1),2,IF(AND($C16="Jalon",M$7&gt;=$E16,M$7&lt;=$E16+$F16-1),1,""))</f>
      </c>
      <c r="N16" s="61">
        <f>IF(AND($C16="Objectif",N$7&gt;=$E16,N$7&lt;=$E16+$F16-1),2,IF(AND($C16="Jalon",N$7&gt;=$E16,N$7&lt;=$E16+$F16-1),1,""))</f>
      </c>
      <c r="O16" s="61">
        <f>IF(AND($C16="Objectif",O$7&gt;=$E16,O$7&lt;=$E16+$F16-1),2,IF(AND($C16="Jalon",O$7&gt;=$E16,O$7&lt;=$E16+$F16-1),1,""))</f>
      </c>
      <c r="P16" s="61">
        <f>IF(AND($C16="Objectif",P$7&gt;=$E16,P$7&lt;=$E16+$F16-1),2,IF(AND($C16="Jalon",P$7&gt;=$E16,P$7&lt;=$E16+$F16-1),1,""))</f>
      </c>
      <c r="Q16" s="61">
        <f>IF(AND($C16="Objectif",Q$7&gt;=$E16,Q$7&lt;=$E16+$F16-1),2,IF(AND($C16="Jalon",Q$7&gt;=$E16,Q$7&lt;=$E16+$F16-1),1,""))</f>
      </c>
      <c r="R16" s="61">
        <f>IF(AND($C16="Objectif",R$7&gt;=$E16,R$7&lt;=$E16+$F16-1),2,IF(AND($C16="Jalon",R$7&gt;=$E16,R$7&lt;=$E16+$F16-1),1,""))</f>
      </c>
      <c r="S16" s="61">
        <f>IF(AND($C16="Objectif",S$7&gt;=$E16,S$7&lt;=$E16+$F16-1),2,IF(AND($C16="Jalon",S$7&gt;=$E16,S$7&lt;=$E16+$F16-1),1,""))</f>
      </c>
      <c r="T16" s="61">
        <f>IF(AND($C16="Objectif",T$7&gt;=$E16,T$7&lt;=$E16+$F16-1),2,IF(AND($C16="Jalon",T$7&gt;=$E16,T$7&lt;=$E16+$F16-1),1,""))</f>
      </c>
      <c r="U16" s="61">
        <f>IF(AND($C16="Objectif",U$7&gt;=$E16,U$7&lt;=$E16+$F16-1),2,IF(AND($C16="Jalon",U$7&gt;=$E16,U$7&lt;=$E16+$F16-1),1,""))</f>
      </c>
      <c r="V16" s="61">
        <f>IF(AND($C16="Objectif",V$7&gt;=$E16,V$7&lt;=$E16+$F16-1),2,IF(AND($C16="Jalon",V$7&gt;=$E16,V$7&lt;=$E16+$F16-1),1,""))</f>
      </c>
      <c r="W16" s="61">
        <f>IF(AND($C16="Objectif",W$7&gt;=$E16,W$7&lt;=$E16+$F16-1),2,IF(AND($C16="Jalon",W$7&gt;=$E16,W$7&lt;=$E16+$F16-1),1,""))</f>
      </c>
      <c r="X16" s="61">
        <f>IF(AND($C16="Objectif",X$7&gt;=$E16,X$7&lt;=$E16+$F16-1),2,IF(AND($C16="Jalon",X$7&gt;=$E16,X$7&lt;=$E16+$F16-1),1,""))</f>
      </c>
      <c r="Y16" s="61">
        <f>IF(AND($C16="Objectif",Y$7&gt;=$E16,Y$7&lt;=$E16+$F16-1),2,IF(AND($C16="Jalon",Y$7&gt;=$E16,Y$7&lt;=$E16+$F16-1),1,""))</f>
      </c>
      <c r="Z16" s="61">
        <f>IF(AND($C16="Objectif",Z$7&gt;=$E16,Z$7&lt;=$E16+$F16-1),2,IF(AND($C16="Jalon",Z$7&gt;=$E16,Z$7&lt;=$E16+$F16-1),1,""))</f>
      </c>
      <c r="AA16" s="61">
        <f>IF(AND($C16="Objectif",AA$7&gt;=$E16,AA$7&lt;=$E16+$F16-1),2,IF(AND($C16="Jalon",AA$7&gt;=$E16,AA$7&lt;=$E16+$F16-1),1,""))</f>
      </c>
      <c r="AB16" s="61">
        <f>IF(AND($C16="Objectif",AB$7&gt;=$E16,AB$7&lt;=$E16+$F16-1),2,IF(AND($C16="Jalon",AB$7&gt;=$E16,AB$7&lt;=$E16+$F16-1),1,""))</f>
      </c>
      <c r="AC16" s="61">
        <f>IF(AND($C16="Objectif",AC$7&gt;=$E16,AC$7&lt;=$E16+$F16-1),2,IF(AND($C16="Jalon",AC$7&gt;=$E16,AC$7&lt;=$E16+$F16-1),1,""))</f>
      </c>
      <c r="AD16" s="61">
        <f>IF(AND($C16="Objectif",AD$7&gt;=$E16,AD$7&lt;=$E16+$F16-1),2,IF(AND($C16="Jalon",AD$7&gt;=$E16,AD$7&lt;=$E16+$F16-1),1,""))</f>
      </c>
      <c r="AE16" s="61">
        <f>IF(AND($C16="Objectif",AE$7&gt;=$E16,AE$7&lt;=$E16+$F16-1),2,IF(AND($C16="Jalon",AE$7&gt;=$E16,AE$7&lt;=$E16+$F16-1),1,""))</f>
      </c>
      <c r="AF16" s="61">
        <f>IF(AND($C16="Objectif",AF$7&gt;=$E16,AF$7&lt;=$E16+$F16-1),2,IF(AND($C16="Jalon",AF$7&gt;=$E16,AF$7&lt;=$E16+$F16-1),1,""))</f>
      </c>
      <c r="AG16" s="61">
        <f>IF(AND($C16="Objectif",AG$7&gt;=$E16,AG$7&lt;=$E16+$F16-1),2,IF(AND($C16="Jalon",AG$7&gt;=$E16,AG$7&lt;=$E16+$F16-1),1,""))</f>
      </c>
      <c r="AH16" s="61">
        <f>IF(AND($C16="Objectif",AH$7&gt;=$E16,AH$7&lt;=$E16+$F16-1),2,IF(AND($C16="Jalon",AH$7&gt;=$E16,AH$7&lt;=$E16+$F16-1),1,""))</f>
      </c>
      <c r="AI16" s="61">
        <f>IF(AND($C16="Objectif",AI$7&gt;=$E16,AI$7&lt;=$E16+$F16-1),2,IF(AND($C16="Jalon",AI$7&gt;=$E16,AI$7&lt;=$E16+$F16-1),1,""))</f>
      </c>
      <c r="AJ16" s="61">
        <f>IF(AND($C16="Objectif",AJ$7&gt;=$E16,AJ$7&lt;=$E16+$F16-1),2,IF(AND($C16="Jalon",AJ$7&gt;=$E16,AJ$7&lt;=$E16+$F16-1),1,""))</f>
      </c>
      <c r="AK16" s="61">
        <f>IF(AND($C16="Objectif",AK$7&gt;=$E16,AK$7&lt;=$E16+$F16-1),2,IF(AND($C16="Jalon",AK$7&gt;=$E16,AK$7&lt;=$E16+$F16-1),1,""))</f>
      </c>
      <c r="AL16" s="61">
        <f>IF(AND($C16="Objectif",AL$7&gt;=$E16,AL$7&lt;=$E16+$F16-1),2,IF(AND($C16="Jalon",AL$7&gt;=$E16,AL$7&lt;=$E16+$F16-1),1,""))</f>
      </c>
      <c r="AM16" s="61">
        <f>IF(AND($C16="Objectif",AM$7&gt;=$E16,AM$7&lt;=$E16+$F16-1),2,IF(AND($C16="Jalon",AM$7&gt;=$E16,AM$7&lt;=$E16+$F16-1),1,""))</f>
      </c>
      <c r="AN16" s="61">
        <f>IF(AND($C16="Objectif",AN$7&gt;=$E16,AN$7&lt;=$E16+$F16-1),2,IF(AND($C16="Jalon",AN$7&gt;=$E16,AN$7&lt;=$E16+$F16-1),1,""))</f>
      </c>
      <c r="AO16" s="61">
        <f>IF(AND($C16="Objectif",AO$7&gt;=$E16,AO$7&lt;=$E16+$F16-1),2,IF(AND($C16="Jalon",AO$7&gt;=$E16,AO$7&lt;=$E16+$F16-1),1,""))</f>
      </c>
      <c r="AP16" s="61">
        <f>IF(AND($C16="Objectif",AP$7&gt;=$E16,AP$7&lt;=$E16+$F16-1),2,IF(AND($C16="Jalon",AP$7&gt;=$E16,AP$7&lt;=$E16+$F16-1),1,""))</f>
      </c>
      <c r="AQ16" s="61">
        <f>IF(AND($C16="Objectif",AQ$7&gt;=$E16,AQ$7&lt;=$E16+$F16-1),2,IF(AND($C16="Jalon",AQ$7&gt;=$E16,AQ$7&lt;=$E16+$F16-1),1,""))</f>
      </c>
      <c r="AR16" s="61">
        <f>IF(AND($C16="Objectif",AR$7&gt;=$E16,AR$7&lt;=$E16+$F16-1),2,IF(AND($C16="Jalon",AR$7&gt;=$E16,AR$7&lt;=$E16+$F16-1),1,""))</f>
      </c>
      <c r="AS16" s="61">
        <f>IF(AND($C16="Objectif",AS$7&gt;=$E16,AS$7&lt;=$E16+$F16-1),2,IF(AND($C16="Jalon",AS$7&gt;=$E16,AS$7&lt;=$E16+$F16-1),1,""))</f>
      </c>
      <c r="AT16" s="61">
        <f>IF(AND($C16="Objectif",AT$7&gt;=$E16,AT$7&lt;=$E16+$F16-1),2,IF(AND($C16="Jalon",AT$7&gt;=$E16,AT$7&lt;=$E16+$F16-1),1,""))</f>
      </c>
      <c r="AU16" s="61">
        <f>IF(AND($C16="Objectif",AU$7&gt;=$E16,AU$7&lt;=$E16+$F16-1),2,IF(AND($C16="Jalon",AU$7&gt;=$E16,AU$7&lt;=$E16+$F16-1),1,""))</f>
      </c>
      <c r="AV16" s="61">
        <f>IF(AND($C16="Objectif",AV$7&gt;=$E16,AV$7&lt;=$E16+$F16-1),2,IF(AND($C16="Jalon",AV$7&gt;=$E16,AV$7&lt;=$E16+$F16-1),1,""))</f>
      </c>
      <c r="AW16" s="61">
        <f>IF(AND($C16="Objectif",AW$7&gt;=$E16,AW$7&lt;=$E16+$F16-1),2,IF(AND($C16="Jalon",AW$7&gt;=$E16,AW$7&lt;=$E16+$F16-1),1,""))</f>
      </c>
      <c r="AX16" s="61">
        <f>IF(AND($C16="Objectif",AX$7&gt;=$E16,AX$7&lt;=$E16+$F16-1),2,IF(AND($C16="Jalon",AX$7&gt;=$E16,AX$7&lt;=$E16+$F16-1),1,""))</f>
      </c>
      <c r="AY16" s="61">
        <f>IF(AND($C16="Objectif",AY$7&gt;=$E16,AY$7&lt;=$E16+$F16-1),2,IF(AND($C16="Jalon",AY$7&gt;=$E16,AY$7&lt;=$E16+$F16-1),1,""))</f>
      </c>
      <c r="AZ16" s="61">
        <f>IF(AND($C16="Objectif",AZ$7&gt;=$E16,AZ$7&lt;=$E16+$F16-1),2,IF(AND($C16="Jalon",AZ$7&gt;=$E16,AZ$7&lt;=$E16+$F16-1),1,""))</f>
      </c>
      <c r="BA16" s="61">
        <f>IF(AND($C16="Objectif",BA$7&gt;=$E16,BA$7&lt;=$E16+$F16-1),2,IF(AND($C16="Jalon",BA$7&gt;=$E16,BA$7&lt;=$E16+$F16-1),1,""))</f>
      </c>
      <c r="BB16" s="61">
        <f>IF(AND($C16="Objectif",BB$7&gt;=$E16,BB$7&lt;=$E16+$F16-1),2,IF(AND($C16="Jalon",BB$7&gt;=$E16,BB$7&lt;=$E16+$F16-1),1,""))</f>
      </c>
      <c r="BC16" s="61">
        <f>IF(AND($C16="Objectif",BC$7&gt;=$E16,BC$7&lt;=$E16+$F16-1),2,IF(AND($C16="Jalon",BC$7&gt;=$E16,BC$7&lt;=$E16+$F16-1),1,""))</f>
      </c>
      <c r="BD16" s="61">
        <f>IF(AND($C16="Objectif",BD$7&gt;=$E16,BD$7&lt;=$E16+$F16-1),2,IF(AND($C16="Jalon",BD$7&gt;=$E16,BD$7&lt;=$E16+$F16-1),1,""))</f>
      </c>
      <c r="BE16" s="61">
        <f>IF(AND($C16="Objectif",BE$7&gt;=$E16,BE$7&lt;=$E16+$F16-1),2,IF(AND($C16="Jalon",BE$7&gt;=$E16,BE$7&lt;=$E16+$F16-1),1,""))</f>
      </c>
      <c r="BF16" s="61">
        <f>IF(AND($C16="Objectif",BF$7&gt;=$E16,BF$7&lt;=$E16+$F16-1),2,IF(AND($C16="Jalon",BF$7&gt;=$E16,BF$7&lt;=$E16+$F16-1),1,""))</f>
      </c>
      <c r="BG16" s="61">
        <f>IF(AND($C16="Objectif",BG$7&gt;=$E16,BG$7&lt;=$E16+$F16-1),2,IF(AND($C16="Jalon",BG$7&gt;=$E16,BG$7&lt;=$E16+$F16-1),1,""))</f>
      </c>
      <c r="BH16" s="61">
        <f>IF(AND($C16="Objectif",BH$7&gt;=$E16,BH$7&lt;=$E16+$F16-1),2,IF(AND($C16="Jalon",BH$7&gt;=$E16,BH$7&lt;=$E16+$F16-1),1,""))</f>
      </c>
      <c r="BI16" s="61">
        <f>IF(AND($C16="Objectif",BI$7&gt;=$E16,BI$7&lt;=$E16+$F16-1),2,IF(AND($C16="Jalon",BI$7&gt;=$E16,BI$7&lt;=$E16+$F16-1),1,""))</f>
      </c>
      <c r="BJ16" s="61">
        <f>IF(AND($C16="Objectif",BJ$7&gt;=$E16,BJ$7&lt;=$E16+$F16-1),2,IF(AND($C16="Jalon",BJ$7&gt;=$E16,BJ$7&lt;=$E16+$F16-1),1,""))</f>
      </c>
      <c r="BK16" s="61">
        <f>IF(AND($C16="Objectif",BK$7&gt;=$E16,BK$7&lt;=$E16+$F16-1),2,IF(AND($C16="Jalon",BK$7&gt;=$E16,BK$7&lt;=$E16+$F16-1),1,""))</f>
      </c>
      <c r="BL16" s="1"/>
      <c r="BM16" s="1"/>
      <c r="BN16" s="1"/>
      <c r="BO16" s="1"/>
    </row>
    <row x14ac:dyDescent="0.25" r="17" customHeight="1" ht="19.5">
      <c r="A17" s="7"/>
      <c r="B17" s="57" t="s">
        <v>24</v>
      </c>
      <c r="C17" s="58"/>
      <c r="D17" s="59"/>
      <c r="E17" s="26">
        <f>E16+F16</f>
        <v>25569.125</v>
      </c>
      <c r="F17" s="58">
        <f>E22+F22-E17</f>
      </c>
      <c r="G17" s="60"/>
      <c r="H17" s="61">
        <f>IF(AND($C17="Objectif",H$7&gt;=$E17,H$7&lt;=$E17+$F17-1),2,IF(AND($C17="Jalon",H$7&gt;=$E17,H$7&lt;=$E17+$F17-1),1,""))</f>
      </c>
      <c r="I17" s="61">
        <f>IF(AND($C17="Objectif",I$7&gt;=$E17,I$7&lt;=$E17+$F17-1),2,IF(AND($C17="Jalon",I$7&gt;=$E17,I$7&lt;=$E17+$F17-1),1,""))</f>
      </c>
      <c r="J17" s="61">
        <f>IF(AND($C17="Objectif",J$7&gt;=$E17,J$7&lt;=$E17+$F17-1),2,IF(AND($C17="Jalon",J$7&gt;=$E17,J$7&lt;=$E17+$F17-1),1,""))</f>
      </c>
      <c r="K17" s="61">
        <f>IF(AND($C17="Objectif",K$7&gt;=$E17,K$7&lt;=$E17+$F17-1),2,IF(AND($C17="Jalon",K$7&gt;=$E17,K$7&lt;=$E17+$F17-1),1,""))</f>
      </c>
      <c r="L17" s="61">
        <f>IF(AND($C17="Objectif",L$7&gt;=$E17,L$7&lt;=$E17+$F17-1),2,IF(AND($C17="Jalon",L$7&gt;=$E17,L$7&lt;=$E17+$F17-1),1,""))</f>
      </c>
      <c r="M17" s="61">
        <f>IF(AND($C17="Objectif",M$7&gt;=$E17,M$7&lt;=$E17+$F17-1),2,IF(AND($C17="Jalon",M$7&gt;=$E17,M$7&lt;=$E17+$F17-1),1,""))</f>
      </c>
      <c r="N17" s="61">
        <f>IF(AND($C17="Objectif",N$7&gt;=$E17,N$7&lt;=$E17+$F17-1),2,IF(AND($C17="Jalon",N$7&gt;=$E17,N$7&lt;=$E17+$F17-1),1,""))</f>
      </c>
      <c r="O17" s="61">
        <f>IF(AND($C17="Objectif",O$7&gt;=$E17,O$7&lt;=$E17+$F17-1),2,IF(AND($C17="Jalon",O$7&gt;=$E17,O$7&lt;=$E17+$F17-1),1,""))</f>
      </c>
      <c r="P17" s="61">
        <f>IF(AND($C17="Objectif",P$7&gt;=$E17,P$7&lt;=$E17+$F17-1),2,IF(AND($C17="Jalon",P$7&gt;=$E17,P$7&lt;=$E17+$F17-1),1,""))</f>
      </c>
      <c r="Q17" s="61">
        <f>IF(AND($C17="Objectif",Q$7&gt;=$E17,Q$7&lt;=$E17+$F17-1),2,IF(AND($C17="Jalon",Q$7&gt;=$E17,Q$7&lt;=$E17+$F17-1),1,""))</f>
      </c>
      <c r="R17" s="61">
        <f>IF(AND($C17="Objectif",R$7&gt;=$E17,R$7&lt;=$E17+$F17-1),2,IF(AND($C17="Jalon",R$7&gt;=$E17,R$7&lt;=$E17+$F17-1),1,""))</f>
      </c>
      <c r="S17" s="61">
        <f>IF(AND($C17="Objectif",S$7&gt;=$E17,S$7&lt;=$E17+$F17-1),2,IF(AND($C17="Jalon",S$7&gt;=$E17,S$7&lt;=$E17+$F17-1),1,""))</f>
      </c>
      <c r="T17" s="61">
        <f>IF(AND($C17="Objectif",T$7&gt;=$E17,T$7&lt;=$E17+$F17-1),2,IF(AND($C17="Jalon",T$7&gt;=$E17,T$7&lt;=$E17+$F17-1),1,""))</f>
      </c>
      <c r="U17" s="61">
        <f>IF(AND($C17="Objectif",U$7&gt;=$E17,U$7&lt;=$E17+$F17-1),2,IF(AND($C17="Jalon",U$7&gt;=$E17,U$7&lt;=$E17+$F17-1),1,""))</f>
      </c>
      <c r="V17" s="61">
        <f>IF(AND($C17="Objectif",V$7&gt;=$E17,V$7&lt;=$E17+$F17-1),2,IF(AND($C17="Jalon",V$7&gt;=$E17,V$7&lt;=$E17+$F17-1),1,""))</f>
      </c>
      <c r="W17" s="61">
        <f>IF(AND($C17="Objectif",W$7&gt;=$E17,W$7&lt;=$E17+$F17-1),2,IF(AND($C17="Jalon",W$7&gt;=$E17,W$7&lt;=$E17+$F17-1),1,""))</f>
      </c>
      <c r="X17" s="61">
        <f>IF(AND($C17="Objectif",X$7&gt;=$E17,X$7&lt;=$E17+$F17-1),2,IF(AND($C17="Jalon",X$7&gt;=$E17,X$7&lt;=$E17+$F17-1),1,""))</f>
      </c>
      <c r="Y17" s="61">
        <f>IF(AND($C17="Objectif",Y$7&gt;=$E17,Y$7&lt;=$E17+$F17-1),2,IF(AND($C17="Jalon",Y$7&gt;=$E17,Y$7&lt;=$E17+$F17-1),1,""))</f>
      </c>
      <c r="Z17" s="61">
        <f>IF(AND($C17="Objectif",Z$7&gt;=$E17,Z$7&lt;=$E17+$F17-1),2,IF(AND($C17="Jalon",Z$7&gt;=$E17,Z$7&lt;=$E17+$F17-1),1,""))</f>
      </c>
      <c r="AA17" s="61">
        <f>IF(AND($C17="Objectif",AA$7&gt;=$E17,AA$7&lt;=$E17+$F17-1),2,IF(AND($C17="Jalon",AA$7&gt;=$E17,AA$7&lt;=$E17+$F17-1),1,""))</f>
      </c>
      <c r="AB17" s="61">
        <f>IF(AND($C17="Objectif",AB$7&gt;=$E17,AB$7&lt;=$E17+$F17-1),2,IF(AND($C17="Jalon",AB$7&gt;=$E17,AB$7&lt;=$E17+$F17-1),1,""))</f>
      </c>
      <c r="AC17" s="61">
        <f>IF(AND($C17="Objectif",AC$7&gt;=$E17,AC$7&lt;=$E17+$F17-1),2,IF(AND($C17="Jalon",AC$7&gt;=$E17,AC$7&lt;=$E17+$F17-1),1,""))</f>
      </c>
      <c r="AD17" s="61">
        <f>IF(AND($C17="Objectif",AD$7&gt;=$E17,AD$7&lt;=$E17+$F17-1),2,IF(AND($C17="Jalon",AD$7&gt;=$E17,AD$7&lt;=$E17+$F17-1),1,""))</f>
      </c>
      <c r="AE17" s="61">
        <f>IF(AND($C17="Objectif",AE$7&gt;=$E17,AE$7&lt;=$E17+$F17-1),2,IF(AND($C17="Jalon",AE$7&gt;=$E17,AE$7&lt;=$E17+$F17-1),1,""))</f>
      </c>
      <c r="AF17" s="61">
        <f>IF(AND($C17="Objectif",AF$7&gt;=$E17,AF$7&lt;=$E17+$F17-1),2,IF(AND($C17="Jalon",AF$7&gt;=$E17,AF$7&lt;=$E17+$F17-1),1,""))</f>
      </c>
      <c r="AG17" s="61">
        <f>IF(AND($C17="Objectif",AG$7&gt;=$E17,AG$7&lt;=$E17+$F17-1),2,IF(AND($C17="Jalon",AG$7&gt;=$E17,AG$7&lt;=$E17+$F17-1),1,""))</f>
      </c>
      <c r="AH17" s="61">
        <f>IF(AND($C17="Objectif",AH$7&gt;=$E17,AH$7&lt;=$E17+$F17-1),2,IF(AND($C17="Jalon",AH$7&gt;=$E17,AH$7&lt;=$E17+$F17-1),1,""))</f>
      </c>
      <c r="AI17" s="61">
        <f>IF(AND($C17="Objectif",AI$7&gt;=$E17,AI$7&lt;=$E17+$F17-1),2,IF(AND($C17="Jalon",AI$7&gt;=$E17,AI$7&lt;=$E17+$F17-1),1,""))</f>
      </c>
      <c r="AJ17" s="61">
        <f>IF(AND($C17="Objectif",AJ$7&gt;=$E17,AJ$7&lt;=$E17+$F17-1),2,IF(AND($C17="Jalon",AJ$7&gt;=$E17,AJ$7&lt;=$E17+$F17-1),1,""))</f>
      </c>
      <c r="AK17" s="61">
        <f>IF(AND($C17="Objectif",AK$7&gt;=$E17,AK$7&lt;=$E17+$F17-1),2,IF(AND($C17="Jalon",AK$7&gt;=$E17,AK$7&lt;=$E17+$F17-1),1,""))</f>
      </c>
      <c r="AL17" s="61">
        <f>IF(AND($C17="Objectif",AL$7&gt;=$E17,AL$7&lt;=$E17+$F17-1),2,IF(AND($C17="Jalon",AL$7&gt;=$E17,AL$7&lt;=$E17+$F17-1),1,""))</f>
      </c>
      <c r="AM17" s="61">
        <f>IF(AND($C17="Objectif",AM$7&gt;=$E17,AM$7&lt;=$E17+$F17-1),2,IF(AND($C17="Jalon",AM$7&gt;=$E17,AM$7&lt;=$E17+$F17-1),1,""))</f>
      </c>
      <c r="AN17" s="61">
        <f>IF(AND($C17="Objectif",AN$7&gt;=$E17,AN$7&lt;=$E17+$F17-1),2,IF(AND($C17="Jalon",AN$7&gt;=$E17,AN$7&lt;=$E17+$F17-1),1,""))</f>
      </c>
      <c r="AO17" s="61">
        <f>IF(AND($C17="Objectif",AO$7&gt;=$E17,AO$7&lt;=$E17+$F17-1),2,IF(AND($C17="Jalon",AO$7&gt;=$E17,AO$7&lt;=$E17+$F17-1),1,""))</f>
      </c>
      <c r="AP17" s="61">
        <f>IF(AND($C17="Objectif",AP$7&gt;=$E17,AP$7&lt;=$E17+$F17-1),2,IF(AND($C17="Jalon",AP$7&gt;=$E17,AP$7&lt;=$E17+$F17-1),1,""))</f>
      </c>
      <c r="AQ17" s="61">
        <f>IF(AND($C17="Objectif",AQ$7&gt;=$E17,AQ$7&lt;=$E17+$F17-1),2,IF(AND($C17="Jalon",AQ$7&gt;=$E17,AQ$7&lt;=$E17+$F17-1),1,""))</f>
      </c>
      <c r="AR17" s="61">
        <f>IF(AND($C17="Objectif",AR$7&gt;=$E17,AR$7&lt;=$E17+$F17-1),2,IF(AND($C17="Jalon",AR$7&gt;=$E17,AR$7&lt;=$E17+$F17-1),1,""))</f>
      </c>
      <c r="AS17" s="61">
        <f>IF(AND($C17="Objectif",AS$7&gt;=$E17,AS$7&lt;=$E17+$F17-1),2,IF(AND($C17="Jalon",AS$7&gt;=$E17,AS$7&lt;=$E17+$F17-1),1,""))</f>
      </c>
      <c r="AT17" s="61">
        <f>IF(AND($C17="Objectif",AT$7&gt;=$E17,AT$7&lt;=$E17+$F17-1),2,IF(AND($C17="Jalon",AT$7&gt;=$E17,AT$7&lt;=$E17+$F17-1),1,""))</f>
      </c>
      <c r="AU17" s="61">
        <f>IF(AND($C17="Objectif",AU$7&gt;=$E17,AU$7&lt;=$E17+$F17-1),2,IF(AND($C17="Jalon",AU$7&gt;=$E17,AU$7&lt;=$E17+$F17-1),1,""))</f>
      </c>
      <c r="AV17" s="61">
        <f>IF(AND($C17="Objectif",AV$7&gt;=$E17,AV$7&lt;=$E17+$F17-1),2,IF(AND($C17="Jalon",AV$7&gt;=$E17,AV$7&lt;=$E17+$F17-1),1,""))</f>
      </c>
      <c r="AW17" s="61">
        <f>IF(AND($C17="Objectif",AW$7&gt;=$E17,AW$7&lt;=$E17+$F17-1),2,IF(AND($C17="Jalon",AW$7&gt;=$E17,AW$7&lt;=$E17+$F17-1),1,""))</f>
      </c>
      <c r="AX17" s="61">
        <f>IF(AND($C17="Objectif",AX$7&gt;=$E17,AX$7&lt;=$E17+$F17-1),2,IF(AND($C17="Jalon",AX$7&gt;=$E17,AX$7&lt;=$E17+$F17-1),1,""))</f>
      </c>
      <c r="AY17" s="61">
        <f>IF(AND($C17="Objectif",AY$7&gt;=$E17,AY$7&lt;=$E17+$F17-1),2,IF(AND($C17="Jalon",AY$7&gt;=$E17,AY$7&lt;=$E17+$F17-1),1,""))</f>
      </c>
      <c r="AZ17" s="61">
        <f>IF(AND($C17="Objectif",AZ$7&gt;=$E17,AZ$7&lt;=$E17+$F17-1),2,IF(AND($C17="Jalon",AZ$7&gt;=$E17,AZ$7&lt;=$E17+$F17-1),1,""))</f>
      </c>
      <c r="BA17" s="61">
        <f>IF(AND($C17="Objectif",BA$7&gt;=$E17,BA$7&lt;=$E17+$F17-1),2,IF(AND($C17="Jalon",BA$7&gt;=$E17,BA$7&lt;=$E17+$F17-1),1,""))</f>
      </c>
      <c r="BB17" s="61">
        <f>IF(AND($C17="Objectif",BB$7&gt;=$E17,BB$7&lt;=$E17+$F17-1),2,IF(AND($C17="Jalon",BB$7&gt;=$E17,BB$7&lt;=$E17+$F17-1),1,""))</f>
      </c>
      <c r="BC17" s="61">
        <f>IF(AND($C17="Objectif",BC$7&gt;=$E17,BC$7&lt;=$E17+$F17-1),2,IF(AND($C17="Jalon",BC$7&gt;=$E17,BC$7&lt;=$E17+$F17-1),1,""))</f>
      </c>
      <c r="BD17" s="61">
        <f>IF(AND($C17="Objectif",BD$7&gt;=$E17,BD$7&lt;=$E17+$F17-1),2,IF(AND($C17="Jalon",BD$7&gt;=$E17,BD$7&lt;=$E17+$F17-1),1,""))</f>
      </c>
      <c r="BE17" s="61">
        <f>IF(AND($C17="Objectif",BE$7&gt;=$E17,BE$7&lt;=$E17+$F17-1),2,IF(AND($C17="Jalon",BE$7&gt;=$E17,BE$7&lt;=$E17+$F17-1),1,""))</f>
      </c>
      <c r="BF17" s="61">
        <f>IF(AND($C17="Objectif",BF$7&gt;=$E17,BF$7&lt;=$E17+$F17-1),2,IF(AND($C17="Jalon",BF$7&gt;=$E17,BF$7&lt;=$E17+$F17-1),1,""))</f>
      </c>
      <c r="BG17" s="61">
        <f>IF(AND($C17="Objectif",BG$7&gt;=$E17,BG$7&lt;=$E17+$F17-1),2,IF(AND($C17="Jalon",BG$7&gt;=$E17,BG$7&lt;=$E17+$F17-1),1,""))</f>
      </c>
      <c r="BH17" s="61">
        <f>IF(AND($C17="Objectif",BH$7&gt;=$E17,BH$7&lt;=$E17+$F17-1),2,IF(AND($C17="Jalon",BH$7&gt;=$E17,BH$7&lt;=$E17+$F17-1),1,""))</f>
      </c>
      <c r="BI17" s="61">
        <f>IF(AND($C17="Objectif",BI$7&gt;=$E17,BI$7&lt;=$E17+$F17-1),2,IF(AND($C17="Jalon",BI$7&gt;=$E17,BI$7&lt;=$E17+$F17-1),1,""))</f>
      </c>
      <c r="BJ17" s="61">
        <f>IF(AND($C17="Objectif",BJ$7&gt;=$E17,BJ$7&lt;=$E17+$F17-1),2,IF(AND($C17="Jalon",BJ$7&gt;=$E17,BJ$7&lt;=$E17+$F17-1),1,""))</f>
      </c>
      <c r="BK17" s="61">
        <f>IF(AND($C17="Objectif",BK$7&gt;=$E17,BK$7&lt;=$E17+$F17-1),2,IF(AND($C17="Jalon",BK$7&gt;=$E17,BK$7&lt;=$E17+$F17-1),1,""))</f>
      </c>
      <c r="BL17" s="1"/>
      <c r="BM17" s="1"/>
      <c r="BN17" s="1"/>
      <c r="BO17" s="1"/>
    </row>
    <row x14ac:dyDescent="0.25" r="18" customHeight="1" ht="33">
      <c r="A18" s="7"/>
      <c r="B18" s="63" t="s">
        <v>25</v>
      </c>
      <c r="C18" s="58" t="s">
        <v>5</v>
      </c>
      <c r="D18" s="59">
        <v>0.95</v>
      </c>
      <c r="E18" s="26">
        <f>E17</f>
        <v>25569.125</v>
      </c>
      <c r="F18" s="58">
        <v>7</v>
      </c>
      <c r="G18" s="60"/>
      <c r="H18" s="61">
        <f>IF(AND($C18="Objectif",H$7&gt;=$E18,H$7&lt;=$E18+$F18-1),2,IF(AND($C18="Jalon",H$7&gt;=$E18,H$7&lt;=$E18+$F18-1),1,""))</f>
      </c>
      <c r="I18" s="61">
        <f>IF(AND($C18="Objectif",I$7&gt;=$E18,I$7&lt;=$E18+$F18-1),2,IF(AND($C18="Jalon",I$7&gt;=$E18,I$7&lt;=$E18+$F18-1),1,""))</f>
      </c>
      <c r="J18" s="61">
        <f>IF(AND($C18="Objectif",J$7&gt;=$E18,J$7&lt;=$E18+$F18-1),2,IF(AND($C18="Jalon",J$7&gt;=$E18,J$7&lt;=$E18+$F18-1),1,""))</f>
      </c>
      <c r="K18" s="61">
        <f>IF(AND($C18="Objectif",K$7&gt;=$E18,K$7&lt;=$E18+$F18-1),2,IF(AND($C18="Jalon",K$7&gt;=$E18,K$7&lt;=$E18+$F18-1),1,""))</f>
      </c>
      <c r="L18" s="61">
        <f>IF(AND($C18="Objectif",L$7&gt;=$E18,L$7&lt;=$E18+$F18-1),2,IF(AND($C18="Jalon",L$7&gt;=$E18,L$7&lt;=$E18+$F18-1),1,""))</f>
      </c>
      <c r="M18" s="61">
        <f>IF(AND($C18="Objectif",M$7&gt;=$E18,M$7&lt;=$E18+$F18-1),2,IF(AND($C18="Jalon",M$7&gt;=$E18,M$7&lt;=$E18+$F18-1),1,""))</f>
      </c>
      <c r="N18" s="61">
        <f>IF(AND($C18="Objectif",N$7&gt;=$E18,N$7&lt;=$E18+$F18-1),2,IF(AND($C18="Jalon",N$7&gt;=$E18,N$7&lt;=$E18+$F18-1),1,""))</f>
      </c>
      <c r="O18" s="61">
        <f>IF(AND($C18="Objectif",O$7&gt;=$E18,O$7&lt;=$E18+$F18-1),2,IF(AND($C18="Jalon",O$7&gt;=$E18,O$7&lt;=$E18+$F18-1),1,""))</f>
      </c>
      <c r="P18" s="61">
        <f>IF(AND($C18="Objectif",P$7&gt;=$E18,P$7&lt;=$E18+$F18-1),2,IF(AND($C18="Jalon",P$7&gt;=$E18,P$7&lt;=$E18+$F18-1),1,""))</f>
      </c>
      <c r="Q18" s="61">
        <f>IF(AND($C18="Objectif",Q$7&gt;=$E18,Q$7&lt;=$E18+$F18-1),2,IF(AND($C18="Jalon",Q$7&gt;=$E18,Q$7&lt;=$E18+$F18-1),1,""))</f>
      </c>
      <c r="R18" s="61">
        <f>IF(AND($C18="Objectif",R$7&gt;=$E18,R$7&lt;=$E18+$F18-1),2,IF(AND($C18="Jalon",R$7&gt;=$E18,R$7&lt;=$E18+$F18-1),1,""))</f>
      </c>
      <c r="S18" s="61">
        <f>IF(AND($C18="Objectif",S$7&gt;=$E18,S$7&lt;=$E18+$F18-1),2,IF(AND($C18="Jalon",S$7&gt;=$E18,S$7&lt;=$E18+$F18-1),1,""))</f>
      </c>
      <c r="T18" s="61">
        <f>IF(AND($C18="Objectif",T$7&gt;=$E18,T$7&lt;=$E18+$F18-1),2,IF(AND($C18="Jalon",T$7&gt;=$E18,T$7&lt;=$E18+$F18-1),1,""))</f>
      </c>
      <c r="U18" s="61">
        <f>IF(AND($C18="Objectif",U$7&gt;=$E18,U$7&lt;=$E18+$F18-1),2,IF(AND($C18="Jalon",U$7&gt;=$E18,U$7&lt;=$E18+$F18-1),1,""))</f>
      </c>
      <c r="V18" s="61">
        <f>IF(AND($C18="Objectif",V$7&gt;=$E18,V$7&lt;=$E18+$F18-1),2,IF(AND($C18="Jalon",V$7&gt;=$E18,V$7&lt;=$E18+$F18-1),1,""))</f>
      </c>
      <c r="W18" s="61">
        <f>IF(AND($C18="Objectif",W$7&gt;=$E18,W$7&lt;=$E18+$F18-1),2,IF(AND($C18="Jalon",W$7&gt;=$E18,W$7&lt;=$E18+$F18-1),1,""))</f>
      </c>
      <c r="X18" s="61">
        <f>IF(AND($C18="Objectif",X$7&gt;=$E18,X$7&lt;=$E18+$F18-1),2,IF(AND($C18="Jalon",X$7&gt;=$E18,X$7&lt;=$E18+$F18-1),1,""))</f>
      </c>
      <c r="Y18" s="61">
        <f>IF(AND($C18="Objectif",Y$7&gt;=$E18,Y$7&lt;=$E18+$F18-1),2,IF(AND($C18="Jalon",Y$7&gt;=$E18,Y$7&lt;=$E18+$F18-1),1,""))</f>
      </c>
      <c r="Z18" s="61">
        <f>IF(AND($C18="Objectif",Z$7&gt;=$E18,Z$7&lt;=$E18+$F18-1),2,IF(AND($C18="Jalon",Z$7&gt;=$E18,Z$7&lt;=$E18+$F18-1),1,""))</f>
      </c>
      <c r="AA18" s="61">
        <f>IF(AND($C18="Objectif",AA$7&gt;=$E18,AA$7&lt;=$E18+$F18-1),2,IF(AND($C18="Jalon",AA$7&gt;=$E18,AA$7&lt;=$E18+$F18-1),1,""))</f>
      </c>
      <c r="AB18" s="61">
        <f>IF(AND($C18="Objectif",AB$7&gt;=$E18,AB$7&lt;=$E18+$F18-1),2,IF(AND($C18="Jalon",AB$7&gt;=$E18,AB$7&lt;=$E18+$F18-1),1,""))</f>
      </c>
      <c r="AC18" s="61">
        <f>IF(AND($C18="Objectif",AC$7&gt;=$E18,AC$7&lt;=$E18+$F18-1),2,IF(AND($C18="Jalon",AC$7&gt;=$E18,AC$7&lt;=$E18+$F18-1),1,""))</f>
      </c>
      <c r="AD18" s="61">
        <f>IF(AND($C18="Objectif",AD$7&gt;=$E18,AD$7&lt;=$E18+$F18-1),2,IF(AND($C18="Jalon",AD$7&gt;=$E18,AD$7&lt;=$E18+$F18-1),1,""))</f>
      </c>
      <c r="AE18" s="61">
        <f>IF(AND($C18="Objectif",AE$7&gt;=$E18,AE$7&lt;=$E18+$F18-1),2,IF(AND($C18="Jalon",AE$7&gt;=$E18,AE$7&lt;=$E18+$F18-1),1,""))</f>
      </c>
      <c r="AF18" s="61">
        <f>IF(AND($C18="Objectif",AF$7&gt;=$E18,AF$7&lt;=$E18+$F18-1),2,IF(AND($C18="Jalon",AF$7&gt;=$E18,AF$7&lt;=$E18+$F18-1),1,""))</f>
      </c>
      <c r="AG18" s="61">
        <f>IF(AND($C18="Objectif",AG$7&gt;=$E18,AG$7&lt;=$E18+$F18-1),2,IF(AND($C18="Jalon",AG$7&gt;=$E18,AG$7&lt;=$E18+$F18-1),1,""))</f>
      </c>
      <c r="AH18" s="61">
        <f>IF(AND($C18="Objectif",AH$7&gt;=$E18,AH$7&lt;=$E18+$F18-1),2,IF(AND($C18="Jalon",AH$7&gt;=$E18,AH$7&lt;=$E18+$F18-1),1,""))</f>
      </c>
      <c r="AI18" s="61">
        <f>IF(AND($C18="Objectif",AI$7&gt;=$E18,AI$7&lt;=$E18+$F18-1),2,IF(AND($C18="Jalon",AI$7&gt;=$E18,AI$7&lt;=$E18+$F18-1),1,""))</f>
      </c>
      <c r="AJ18" s="61">
        <f>IF(AND($C18="Objectif",AJ$7&gt;=$E18,AJ$7&lt;=$E18+$F18-1),2,IF(AND($C18="Jalon",AJ$7&gt;=$E18,AJ$7&lt;=$E18+$F18-1),1,""))</f>
      </c>
      <c r="AK18" s="61">
        <f>IF(AND($C18="Objectif",AK$7&gt;=$E18,AK$7&lt;=$E18+$F18-1),2,IF(AND($C18="Jalon",AK$7&gt;=$E18,AK$7&lt;=$E18+$F18-1),1,""))</f>
      </c>
      <c r="AL18" s="61">
        <f>IF(AND($C18="Objectif",AL$7&gt;=$E18,AL$7&lt;=$E18+$F18-1),2,IF(AND($C18="Jalon",AL$7&gt;=$E18,AL$7&lt;=$E18+$F18-1),1,""))</f>
      </c>
      <c r="AM18" s="61">
        <f>IF(AND($C18="Objectif",AM$7&gt;=$E18,AM$7&lt;=$E18+$F18-1),2,IF(AND($C18="Jalon",AM$7&gt;=$E18,AM$7&lt;=$E18+$F18-1),1,""))</f>
      </c>
      <c r="AN18" s="61">
        <f>IF(AND($C18="Objectif",AN$7&gt;=$E18,AN$7&lt;=$E18+$F18-1),2,IF(AND($C18="Jalon",AN$7&gt;=$E18,AN$7&lt;=$E18+$F18-1),1,""))</f>
      </c>
      <c r="AO18" s="61">
        <f>IF(AND($C18="Objectif",AO$7&gt;=$E18,AO$7&lt;=$E18+$F18-1),2,IF(AND($C18="Jalon",AO$7&gt;=$E18,AO$7&lt;=$E18+$F18-1),1,""))</f>
      </c>
      <c r="AP18" s="61">
        <f>IF(AND($C18="Objectif",AP$7&gt;=$E18,AP$7&lt;=$E18+$F18-1),2,IF(AND($C18="Jalon",AP$7&gt;=$E18,AP$7&lt;=$E18+$F18-1),1,""))</f>
      </c>
      <c r="AQ18" s="61">
        <f>IF(AND($C18="Objectif",AQ$7&gt;=$E18,AQ$7&lt;=$E18+$F18-1),2,IF(AND($C18="Jalon",AQ$7&gt;=$E18,AQ$7&lt;=$E18+$F18-1),1,""))</f>
      </c>
      <c r="AR18" s="61">
        <f>IF(AND($C18="Objectif",AR$7&gt;=$E18,AR$7&lt;=$E18+$F18-1),2,IF(AND($C18="Jalon",AR$7&gt;=$E18,AR$7&lt;=$E18+$F18-1),1,""))</f>
      </c>
      <c r="AS18" s="61">
        <f>IF(AND($C18="Objectif",AS$7&gt;=$E18,AS$7&lt;=$E18+$F18-1),2,IF(AND($C18="Jalon",AS$7&gt;=$E18,AS$7&lt;=$E18+$F18-1),1,""))</f>
      </c>
      <c r="AT18" s="61">
        <f>IF(AND($C18="Objectif",AT$7&gt;=$E18,AT$7&lt;=$E18+$F18-1),2,IF(AND($C18="Jalon",AT$7&gt;=$E18,AT$7&lt;=$E18+$F18-1),1,""))</f>
      </c>
      <c r="AU18" s="61">
        <f>IF(AND($C18="Objectif",AU$7&gt;=$E18,AU$7&lt;=$E18+$F18-1),2,IF(AND($C18="Jalon",AU$7&gt;=$E18,AU$7&lt;=$E18+$F18-1),1,""))</f>
      </c>
      <c r="AV18" s="61">
        <f>IF(AND($C18="Objectif",AV$7&gt;=$E18,AV$7&lt;=$E18+$F18-1),2,IF(AND($C18="Jalon",AV$7&gt;=$E18,AV$7&lt;=$E18+$F18-1),1,""))</f>
      </c>
      <c r="AW18" s="61">
        <f>IF(AND($C18="Objectif",AW$7&gt;=$E18,AW$7&lt;=$E18+$F18-1),2,IF(AND($C18="Jalon",AW$7&gt;=$E18,AW$7&lt;=$E18+$F18-1),1,""))</f>
      </c>
      <c r="AX18" s="61">
        <f>IF(AND($C18="Objectif",AX$7&gt;=$E18,AX$7&lt;=$E18+$F18-1),2,IF(AND($C18="Jalon",AX$7&gt;=$E18,AX$7&lt;=$E18+$F18-1),1,""))</f>
      </c>
      <c r="AY18" s="61">
        <f>IF(AND($C18="Objectif",AY$7&gt;=$E18,AY$7&lt;=$E18+$F18-1),2,IF(AND($C18="Jalon",AY$7&gt;=$E18,AY$7&lt;=$E18+$F18-1),1,""))</f>
      </c>
      <c r="AZ18" s="61">
        <f>IF(AND($C18="Objectif",AZ$7&gt;=$E18,AZ$7&lt;=$E18+$F18-1),2,IF(AND($C18="Jalon",AZ$7&gt;=$E18,AZ$7&lt;=$E18+$F18-1),1,""))</f>
      </c>
      <c r="BA18" s="61">
        <f>IF(AND($C18="Objectif",BA$7&gt;=$E18,BA$7&lt;=$E18+$F18-1),2,IF(AND($C18="Jalon",BA$7&gt;=$E18,BA$7&lt;=$E18+$F18-1),1,""))</f>
      </c>
      <c r="BB18" s="61">
        <f>IF(AND($C18="Objectif",BB$7&gt;=$E18,BB$7&lt;=$E18+$F18-1),2,IF(AND($C18="Jalon",BB$7&gt;=$E18,BB$7&lt;=$E18+$F18-1),1,""))</f>
      </c>
      <c r="BC18" s="61">
        <f>IF(AND($C18="Objectif",BC$7&gt;=$E18,BC$7&lt;=$E18+$F18-1),2,IF(AND($C18="Jalon",BC$7&gt;=$E18,BC$7&lt;=$E18+$F18-1),1,""))</f>
      </c>
      <c r="BD18" s="61">
        <f>IF(AND($C18="Objectif",BD$7&gt;=$E18,BD$7&lt;=$E18+$F18-1),2,IF(AND($C18="Jalon",BD$7&gt;=$E18,BD$7&lt;=$E18+$F18-1),1,""))</f>
      </c>
      <c r="BE18" s="61">
        <f>IF(AND($C18="Objectif",BE$7&gt;=$E18,BE$7&lt;=$E18+$F18-1),2,IF(AND($C18="Jalon",BE$7&gt;=$E18,BE$7&lt;=$E18+$F18-1),1,""))</f>
      </c>
      <c r="BF18" s="61">
        <f>IF(AND($C18="Objectif",BF$7&gt;=$E18,BF$7&lt;=$E18+$F18-1),2,IF(AND($C18="Jalon",BF$7&gt;=$E18,BF$7&lt;=$E18+$F18-1),1,""))</f>
      </c>
      <c r="BG18" s="61">
        <f>IF(AND($C18="Objectif",BG$7&gt;=$E18,BG$7&lt;=$E18+$F18-1),2,IF(AND($C18="Jalon",BG$7&gt;=$E18,BG$7&lt;=$E18+$F18-1),1,""))</f>
      </c>
      <c r="BH18" s="61">
        <f>IF(AND($C18="Objectif",BH$7&gt;=$E18,BH$7&lt;=$E18+$F18-1),2,IF(AND($C18="Jalon",BH$7&gt;=$E18,BH$7&lt;=$E18+$F18-1),1,""))</f>
      </c>
      <c r="BI18" s="61">
        <f>IF(AND($C18="Objectif",BI$7&gt;=$E18,BI$7&lt;=$E18+$F18-1),2,IF(AND($C18="Jalon",BI$7&gt;=$E18,BI$7&lt;=$E18+$F18-1),1,""))</f>
      </c>
      <c r="BJ18" s="61">
        <f>IF(AND($C18="Objectif",BJ$7&gt;=$E18,BJ$7&lt;=$E18+$F18-1),2,IF(AND($C18="Jalon",BJ$7&gt;=$E18,BJ$7&lt;=$E18+$F18-1),1,""))</f>
      </c>
      <c r="BK18" s="61">
        <f>IF(AND($C18="Objectif",BK$7&gt;=$E18,BK$7&lt;=$E18+$F18-1),2,IF(AND($C18="Jalon",BK$7&gt;=$E18,BK$7&lt;=$E18+$F18-1),1,""))</f>
      </c>
      <c r="BL18" s="1"/>
      <c r="BM18" s="1"/>
      <c r="BN18" s="1"/>
      <c r="BO18" s="1"/>
    </row>
    <row x14ac:dyDescent="0.25" r="19" customHeight="1" ht="19.5">
      <c r="A19" s="64"/>
      <c r="B19" s="63" t="s">
        <v>26</v>
      </c>
      <c r="C19" s="58" t="s">
        <v>3</v>
      </c>
      <c r="D19" s="59">
        <v>0.12</v>
      </c>
      <c r="E19" s="26">
        <f>E18+F18</f>
        <v>25569.125</v>
      </c>
      <c r="F19" s="58">
        <v>5</v>
      </c>
      <c r="G19" s="60"/>
      <c r="H19" s="61">
        <f>IF(AND($C19="Objectif",H$7&gt;=$E19,H$7&lt;=$E19+$F19-1),2,IF(AND($C19="Jalon",H$7&gt;=$E19,H$7&lt;=$E19+$F19-1),1,""))</f>
      </c>
      <c r="I19" s="61">
        <f>IF(AND($C19="Objectif",I$7&gt;=$E19,I$7&lt;=$E19+$F19-1),2,IF(AND($C19="Jalon",I$7&gt;=$E19,I$7&lt;=$E19+$F19-1),1,""))</f>
      </c>
      <c r="J19" s="61">
        <f>IF(AND($C19="Objectif",J$7&gt;=$E19,J$7&lt;=$E19+$F19-1),2,IF(AND($C19="Jalon",J$7&gt;=$E19,J$7&lt;=$E19+$F19-1),1,""))</f>
      </c>
      <c r="K19" s="61">
        <f>IF(AND($C19="Objectif",K$7&gt;=$E19,K$7&lt;=$E19+$F19-1),2,IF(AND($C19="Jalon",K$7&gt;=$E19,K$7&lt;=$E19+$F19-1),1,""))</f>
      </c>
      <c r="L19" s="61">
        <f>IF(AND($C19="Objectif",L$7&gt;=$E19,L$7&lt;=$E19+$F19-1),2,IF(AND($C19="Jalon",L$7&gt;=$E19,L$7&lt;=$E19+$F19-1),1,""))</f>
      </c>
      <c r="M19" s="61">
        <f>IF(AND($C19="Objectif",M$7&gt;=$E19,M$7&lt;=$E19+$F19-1),2,IF(AND($C19="Jalon",M$7&gt;=$E19,M$7&lt;=$E19+$F19-1),1,""))</f>
      </c>
      <c r="N19" s="61">
        <f>IF(AND($C19="Objectif",N$7&gt;=$E19,N$7&lt;=$E19+$F19-1),2,IF(AND($C19="Jalon",N$7&gt;=$E19,N$7&lt;=$E19+$F19-1),1,""))</f>
      </c>
      <c r="O19" s="61">
        <f>IF(AND($C19="Objectif",O$7&gt;=$E19,O$7&lt;=$E19+$F19-1),2,IF(AND($C19="Jalon",O$7&gt;=$E19,O$7&lt;=$E19+$F19-1),1,""))</f>
      </c>
      <c r="P19" s="61">
        <f>IF(AND($C19="Objectif",P$7&gt;=$E19,P$7&lt;=$E19+$F19-1),2,IF(AND($C19="Jalon",P$7&gt;=$E19,P$7&lt;=$E19+$F19-1),1,""))</f>
      </c>
      <c r="Q19" s="61">
        <f>IF(AND($C19="Objectif",Q$7&gt;=$E19,Q$7&lt;=$E19+$F19-1),2,IF(AND($C19="Jalon",Q$7&gt;=$E19,Q$7&lt;=$E19+$F19-1),1,""))</f>
      </c>
      <c r="R19" s="61">
        <f>IF(AND($C19="Objectif",R$7&gt;=$E19,R$7&lt;=$E19+$F19-1),2,IF(AND($C19="Jalon",R$7&gt;=$E19,R$7&lt;=$E19+$F19-1),1,""))</f>
      </c>
      <c r="S19" s="61">
        <f>IF(AND($C19="Objectif",S$7&gt;=$E19,S$7&lt;=$E19+$F19-1),2,IF(AND($C19="Jalon",S$7&gt;=$E19,S$7&lt;=$E19+$F19-1),1,""))</f>
      </c>
      <c r="T19" s="61">
        <f>IF(AND($C19="Objectif",T$7&gt;=$E19,T$7&lt;=$E19+$F19-1),2,IF(AND($C19="Jalon",T$7&gt;=$E19,T$7&lt;=$E19+$F19-1),1,""))</f>
      </c>
      <c r="U19" s="61">
        <f>IF(AND($C19="Objectif",U$7&gt;=$E19,U$7&lt;=$E19+$F19-1),2,IF(AND($C19="Jalon",U$7&gt;=$E19,U$7&lt;=$E19+$F19-1),1,""))</f>
      </c>
      <c r="V19" s="61">
        <f>IF(AND($C19="Objectif",V$7&gt;=$E19,V$7&lt;=$E19+$F19-1),2,IF(AND($C19="Jalon",V$7&gt;=$E19,V$7&lt;=$E19+$F19-1),1,""))</f>
      </c>
      <c r="W19" s="61">
        <f>IF(AND($C19="Objectif",W$7&gt;=$E19,W$7&lt;=$E19+$F19-1),2,IF(AND($C19="Jalon",W$7&gt;=$E19,W$7&lt;=$E19+$F19-1),1,""))</f>
      </c>
      <c r="X19" s="61">
        <f>IF(AND($C19="Objectif",X$7&gt;=$E19,X$7&lt;=$E19+$F19-1),2,IF(AND($C19="Jalon",X$7&gt;=$E19,X$7&lt;=$E19+$F19-1),1,""))</f>
      </c>
      <c r="Y19" s="61">
        <f>IF(AND($C19="Objectif",Y$7&gt;=$E19,Y$7&lt;=$E19+$F19-1),2,IF(AND($C19="Jalon",Y$7&gt;=$E19,Y$7&lt;=$E19+$F19-1),1,""))</f>
      </c>
      <c r="Z19" s="61">
        <f>IF(AND($C19="Objectif",Z$7&gt;=$E19,Z$7&lt;=$E19+$F19-1),2,IF(AND($C19="Jalon",Z$7&gt;=$E19,Z$7&lt;=$E19+$F19-1),1,""))</f>
      </c>
      <c r="AA19" s="61">
        <f>IF(AND($C19="Objectif",AA$7&gt;=$E19,AA$7&lt;=$E19+$F19-1),2,IF(AND($C19="Jalon",AA$7&gt;=$E19,AA$7&lt;=$E19+$F19-1),1,""))</f>
      </c>
      <c r="AB19" s="61">
        <f>IF(AND($C19="Objectif",AB$7&gt;=$E19,AB$7&lt;=$E19+$F19-1),2,IF(AND($C19="Jalon",AB$7&gt;=$E19,AB$7&lt;=$E19+$F19-1),1,""))</f>
      </c>
      <c r="AC19" s="61">
        <f>IF(AND($C19="Objectif",AC$7&gt;=$E19,AC$7&lt;=$E19+$F19-1),2,IF(AND($C19="Jalon",AC$7&gt;=$E19,AC$7&lt;=$E19+$F19-1),1,""))</f>
      </c>
      <c r="AD19" s="61">
        <f>IF(AND($C19="Objectif",AD$7&gt;=$E19,AD$7&lt;=$E19+$F19-1),2,IF(AND($C19="Jalon",AD$7&gt;=$E19,AD$7&lt;=$E19+$F19-1),1,""))</f>
      </c>
      <c r="AE19" s="61">
        <f>IF(AND($C19="Objectif",AE$7&gt;=$E19,AE$7&lt;=$E19+$F19-1),2,IF(AND($C19="Jalon",AE$7&gt;=$E19,AE$7&lt;=$E19+$F19-1),1,""))</f>
      </c>
      <c r="AF19" s="61">
        <f>IF(AND($C19="Objectif",AF$7&gt;=$E19,AF$7&lt;=$E19+$F19-1),2,IF(AND($C19="Jalon",AF$7&gt;=$E19,AF$7&lt;=$E19+$F19-1),1,""))</f>
      </c>
      <c r="AG19" s="61">
        <f>IF(AND($C19="Objectif",AG$7&gt;=$E19,AG$7&lt;=$E19+$F19-1),2,IF(AND($C19="Jalon",AG$7&gt;=$E19,AG$7&lt;=$E19+$F19-1),1,""))</f>
      </c>
      <c r="AH19" s="61">
        <f>IF(AND($C19="Objectif",AH$7&gt;=$E19,AH$7&lt;=$E19+$F19-1),2,IF(AND($C19="Jalon",AH$7&gt;=$E19,AH$7&lt;=$E19+$F19-1),1,""))</f>
      </c>
      <c r="AI19" s="61">
        <f>IF(AND($C19="Objectif",AI$7&gt;=$E19,AI$7&lt;=$E19+$F19-1),2,IF(AND($C19="Jalon",AI$7&gt;=$E19,AI$7&lt;=$E19+$F19-1),1,""))</f>
      </c>
      <c r="AJ19" s="61">
        <f>IF(AND($C19="Objectif",AJ$7&gt;=$E19,AJ$7&lt;=$E19+$F19-1),2,IF(AND($C19="Jalon",AJ$7&gt;=$E19,AJ$7&lt;=$E19+$F19-1),1,""))</f>
      </c>
      <c r="AK19" s="61">
        <f>IF(AND($C19="Objectif",AK$7&gt;=$E19,AK$7&lt;=$E19+$F19-1),2,IF(AND($C19="Jalon",AK$7&gt;=$E19,AK$7&lt;=$E19+$F19-1),1,""))</f>
      </c>
      <c r="AL19" s="61">
        <f>IF(AND($C19="Objectif",AL$7&gt;=$E19,AL$7&lt;=$E19+$F19-1),2,IF(AND($C19="Jalon",AL$7&gt;=$E19,AL$7&lt;=$E19+$F19-1),1,""))</f>
      </c>
      <c r="AM19" s="61">
        <f>IF(AND($C19="Objectif",AM$7&gt;=$E19,AM$7&lt;=$E19+$F19-1),2,IF(AND($C19="Jalon",AM$7&gt;=$E19,AM$7&lt;=$E19+$F19-1),1,""))</f>
      </c>
      <c r="AN19" s="61">
        <f>IF(AND($C19="Objectif",AN$7&gt;=$E19,AN$7&lt;=$E19+$F19-1),2,IF(AND($C19="Jalon",AN$7&gt;=$E19,AN$7&lt;=$E19+$F19-1),1,""))</f>
      </c>
      <c r="AO19" s="61">
        <f>IF(AND($C19="Objectif",AO$7&gt;=$E19,AO$7&lt;=$E19+$F19-1),2,IF(AND($C19="Jalon",AO$7&gt;=$E19,AO$7&lt;=$E19+$F19-1),1,""))</f>
      </c>
      <c r="AP19" s="61">
        <f>IF(AND($C19="Objectif",AP$7&gt;=$E19,AP$7&lt;=$E19+$F19-1),2,IF(AND($C19="Jalon",AP$7&gt;=$E19,AP$7&lt;=$E19+$F19-1),1,""))</f>
      </c>
      <c r="AQ19" s="61">
        <f>IF(AND($C19="Objectif",AQ$7&gt;=$E19,AQ$7&lt;=$E19+$F19-1),2,IF(AND($C19="Jalon",AQ$7&gt;=$E19,AQ$7&lt;=$E19+$F19-1),1,""))</f>
      </c>
      <c r="AR19" s="61">
        <f>IF(AND($C19="Objectif",AR$7&gt;=$E19,AR$7&lt;=$E19+$F19-1),2,IF(AND($C19="Jalon",AR$7&gt;=$E19,AR$7&lt;=$E19+$F19-1),1,""))</f>
      </c>
      <c r="AS19" s="61">
        <f>IF(AND($C19="Objectif",AS$7&gt;=$E19,AS$7&lt;=$E19+$F19-1),2,IF(AND($C19="Jalon",AS$7&gt;=$E19,AS$7&lt;=$E19+$F19-1),1,""))</f>
      </c>
      <c r="AT19" s="61">
        <f>IF(AND($C19="Objectif",AT$7&gt;=$E19,AT$7&lt;=$E19+$F19-1),2,IF(AND($C19="Jalon",AT$7&gt;=$E19,AT$7&lt;=$E19+$F19-1),1,""))</f>
      </c>
      <c r="AU19" s="61">
        <f>IF(AND($C19="Objectif",AU$7&gt;=$E19,AU$7&lt;=$E19+$F19-1),2,IF(AND($C19="Jalon",AU$7&gt;=$E19,AU$7&lt;=$E19+$F19-1),1,""))</f>
      </c>
      <c r="AV19" s="61">
        <f>IF(AND($C19="Objectif",AV$7&gt;=$E19,AV$7&lt;=$E19+$F19-1),2,IF(AND($C19="Jalon",AV$7&gt;=$E19,AV$7&lt;=$E19+$F19-1),1,""))</f>
      </c>
      <c r="AW19" s="61">
        <f>IF(AND($C19="Objectif",AW$7&gt;=$E19,AW$7&lt;=$E19+$F19-1),2,IF(AND($C19="Jalon",AW$7&gt;=$E19,AW$7&lt;=$E19+$F19-1),1,""))</f>
      </c>
      <c r="AX19" s="61">
        <f>IF(AND($C19="Objectif",AX$7&gt;=$E19,AX$7&lt;=$E19+$F19-1),2,IF(AND($C19="Jalon",AX$7&gt;=$E19,AX$7&lt;=$E19+$F19-1),1,""))</f>
      </c>
      <c r="AY19" s="61">
        <f>IF(AND($C19="Objectif",AY$7&gt;=$E19,AY$7&lt;=$E19+$F19-1),2,IF(AND($C19="Jalon",AY$7&gt;=$E19,AY$7&lt;=$E19+$F19-1),1,""))</f>
      </c>
      <c r="AZ19" s="61">
        <f>IF(AND($C19="Objectif",AZ$7&gt;=$E19,AZ$7&lt;=$E19+$F19-1),2,IF(AND($C19="Jalon",AZ$7&gt;=$E19,AZ$7&lt;=$E19+$F19-1),1,""))</f>
      </c>
      <c r="BA19" s="61">
        <f>IF(AND($C19="Objectif",BA$7&gt;=$E19,BA$7&lt;=$E19+$F19-1),2,IF(AND($C19="Jalon",BA$7&gt;=$E19,BA$7&lt;=$E19+$F19-1),1,""))</f>
      </c>
      <c r="BB19" s="61">
        <f>IF(AND($C19="Objectif",BB$7&gt;=$E19,BB$7&lt;=$E19+$F19-1),2,IF(AND($C19="Jalon",BB$7&gt;=$E19,BB$7&lt;=$E19+$F19-1),1,""))</f>
      </c>
      <c r="BC19" s="61">
        <f>IF(AND($C19="Objectif",BC$7&gt;=$E19,BC$7&lt;=$E19+$F19-1),2,IF(AND($C19="Jalon",BC$7&gt;=$E19,BC$7&lt;=$E19+$F19-1),1,""))</f>
      </c>
      <c r="BD19" s="61">
        <f>IF(AND($C19="Objectif",BD$7&gt;=$E19,BD$7&lt;=$E19+$F19-1),2,IF(AND($C19="Jalon",BD$7&gt;=$E19,BD$7&lt;=$E19+$F19-1),1,""))</f>
      </c>
      <c r="BE19" s="61">
        <f>IF(AND($C19="Objectif",BE$7&gt;=$E19,BE$7&lt;=$E19+$F19-1),2,IF(AND($C19="Jalon",BE$7&gt;=$E19,BE$7&lt;=$E19+$F19-1),1,""))</f>
      </c>
      <c r="BF19" s="61">
        <f>IF(AND($C19="Objectif",BF$7&gt;=$E19,BF$7&lt;=$E19+$F19-1),2,IF(AND($C19="Jalon",BF$7&gt;=$E19,BF$7&lt;=$E19+$F19-1),1,""))</f>
      </c>
      <c r="BG19" s="61">
        <f>IF(AND($C19="Objectif",BG$7&gt;=$E19,BG$7&lt;=$E19+$F19-1),2,IF(AND($C19="Jalon",BG$7&gt;=$E19,BG$7&lt;=$E19+$F19-1),1,""))</f>
      </c>
      <c r="BH19" s="61">
        <f>IF(AND($C19="Objectif",BH$7&gt;=$E19,BH$7&lt;=$E19+$F19-1),2,IF(AND($C19="Jalon",BH$7&gt;=$E19,BH$7&lt;=$E19+$F19-1),1,""))</f>
      </c>
      <c r="BI19" s="61">
        <f>IF(AND($C19="Objectif",BI$7&gt;=$E19,BI$7&lt;=$E19+$F19-1),2,IF(AND($C19="Jalon",BI$7&gt;=$E19,BI$7&lt;=$E19+$F19-1),1,""))</f>
      </c>
      <c r="BJ19" s="61">
        <f>IF(AND($C19="Objectif",BJ$7&gt;=$E19,BJ$7&lt;=$E19+$F19-1),2,IF(AND($C19="Jalon",BJ$7&gt;=$E19,BJ$7&lt;=$E19+$F19-1),1,""))</f>
      </c>
      <c r="BK19" s="61">
        <f>IF(AND($C19="Objectif",BK$7&gt;=$E19,BK$7&lt;=$E19+$F19-1),2,IF(AND($C19="Jalon",BK$7&gt;=$E19,BK$7&lt;=$E19+$F19-1),1,""))</f>
      </c>
      <c r="BL19" s="1"/>
      <c r="BM19" s="1"/>
      <c r="BN19" s="1"/>
      <c r="BO19" s="1"/>
    </row>
    <row x14ac:dyDescent="0.25" r="20" customHeight="1" ht="40.2">
      <c r="A20" s="64"/>
      <c r="B20" s="63" t="s">
        <v>27</v>
      </c>
      <c r="C20" s="58" t="s">
        <v>4</v>
      </c>
      <c r="D20" s="59">
        <v>0.78</v>
      </c>
      <c r="E20" s="26">
        <f>E19+F19</f>
        <v>25569.125</v>
      </c>
      <c r="F20" s="58">
        <v>2</v>
      </c>
      <c r="G20" s="60"/>
      <c r="H20" s="61">
        <f>IF(AND($C20="Objectif",H$7&gt;=$E20,H$7&lt;=$E20+$F20-1),2,IF(AND($C20="Jalon",H$7&gt;=$E20,H$7&lt;=$E20+$F20-1),1,""))</f>
      </c>
      <c r="I20" s="61">
        <f>IF(AND($C20="Objectif",I$7&gt;=$E20,I$7&lt;=$E20+$F20-1),2,IF(AND($C20="Jalon",I$7&gt;=$E20,I$7&lt;=$E20+$F20-1),1,""))</f>
      </c>
      <c r="J20" s="61">
        <f>IF(AND($C20="Objectif",J$7&gt;=$E20,J$7&lt;=$E20+$F20-1),2,IF(AND($C20="Jalon",J$7&gt;=$E20,J$7&lt;=$E20+$F20-1),1,""))</f>
      </c>
      <c r="K20" s="61">
        <f>IF(AND($C20="Objectif",K$7&gt;=$E20,K$7&lt;=$E20+$F20-1),2,IF(AND($C20="Jalon",K$7&gt;=$E20,K$7&lt;=$E20+$F20-1),1,""))</f>
      </c>
      <c r="L20" s="61">
        <f>IF(AND($C20="Objectif",L$7&gt;=$E20,L$7&lt;=$E20+$F20-1),2,IF(AND($C20="Jalon",L$7&gt;=$E20,L$7&lt;=$E20+$F20-1),1,""))</f>
      </c>
      <c r="M20" s="61">
        <f>IF(AND($C20="Objectif",M$7&gt;=$E20,M$7&lt;=$E20+$F20-1),2,IF(AND($C20="Jalon",M$7&gt;=$E20,M$7&lt;=$E20+$F20-1),1,""))</f>
      </c>
      <c r="N20" s="61">
        <f>IF(AND($C20="Objectif",N$7&gt;=$E20,N$7&lt;=$E20+$F20-1),2,IF(AND($C20="Jalon",N$7&gt;=$E20,N$7&lt;=$E20+$F20-1),1,""))</f>
      </c>
      <c r="O20" s="61">
        <f>IF(AND($C20="Objectif",O$7&gt;=$E20,O$7&lt;=$E20+$F20-1),2,IF(AND($C20="Jalon",O$7&gt;=$E20,O$7&lt;=$E20+$F20-1),1,""))</f>
      </c>
      <c r="P20" s="61">
        <f>IF(AND($C20="Objectif",P$7&gt;=$E20,P$7&lt;=$E20+$F20-1),2,IF(AND($C20="Jalon",P$7&gt;=$E20,P$7&lt;=$E20+$F20-1),1,""))</f>
      </c>
      <c r="Q20" s="61">
        <f>IF(AND($C20="Objectif",Q$7&gt;=$E20,Q$7&lt;=$E20+$F20-1),2,IF(AND($C20="Jalon",Q$7&gt;=$E20,Q$7&lt;=$E20+$F20-1),1,""))</f>
      </c>
      <c r="R20" s="61">
        <f>IF(AND($C20="Objectif",R$7&gt;=$E20,R$7&lt;=$E20+$F20-1),2,IF(AND($C20="Jalon",R$7&gt;=$E20,R$7&lt;=$E20+$F20-1),1,""))</f>
      </c>
      <c r="S20" s="61">
        <f>IF(AND($C20="Objectif",S$7&gt;=$E20,S$7&lt;=$E20+$F20-1),2,IF(AND($C20="Jalon",S$7&gt;=$E20,S$7&lt;=$E20+$F20-1),1,""))</f>
      </c>
      <c r="T20" s="61">
        <f>IF(AND($C20="Objectif",T$7&gt;=$E20,T$7&lt;=$E20+$F20-1),2,IF(AND($C20="Jalon",T$7&gt;=$E20,T$7&lt;=$E20+$F20-1),1,""))</f>
      </c>
      <c r="U20" s="61">
        <f>IF(AND($C20="Objectif",U$7&gt;=$E20,U$7&lt;=$E20+$F20-1),2,IF(AND($C20="Jalon",U$7&gt;=$E20,U$7&lt;=$E20+$F20-1),1,""))</f>
      </c>
      <c r="V20" s="61">
        <f>IF(AND($C20="Objectif",V$7&gt;=$E20,V$7&lt;=$E20+$F20-1),2,IF(AND($C20="Jalon",V$7&gt;=$E20,V$7&lt;=$E20+$F20-1),1,""))</f>
      </c>
      <c r="W20" s="61">
        <f>IF(AND($C20="Objectif",W$7&gt;=$E20,W$7&lt;=$E20+$F20-1),2,IF(AND($C20="Jalon",W$7&gt;=$E20,W$7&lt;=$E20+$F20-1),1,""))</f>
      </c>
      <c r="X20" s="61">
        <f>IF(AND($C20="Objectif",X$7&gt;=$E20,X$7&lt;=$E20+$F20-1),2,IF(AND($C20="Jalon",X$7&gt;=$E20,X$7&lt;=$E20+$F20-1),1,""))</f>
      </c>
      <c r="Y20" s="61">
        <f>IF(AND($C20="Objectif",Y$7&gt;=$E20,Y$7&lt;=$E20+$F20-1),2,IF(AND($C20="Jalon",Y$7&gt;=$E20,Y$7&lt;=$E20+$F20-1),1,""))</f>
      </c>
      <c r="Z20" s="61">
        <f>IF(AND($C20="Objectif",Z$7&gt;=$E20,Z$7&lt;=$E20+$F20-1),2,IF(AND($C20="Jalon",Z$7&gt;=$E20,Z$7&lt;=$E20+$F20-1),1,""))</f>
      </c>
      <c r="AA20" s="61">
        <f>IF(AND($C20="Objectif",AA$7&gt;=$E20,AA$7&lt;=$E20+$F20-1),2,IF(AND($C20="Jalon",AA$7&gt;=$E20,AA$7&lt;=$E20+$F20-1),1,""))</f>
      </c>
      <c r="AB20" s="61">
        <f>IF(AND($C20="Objectif",AB$7&gt;=$E20,AB$7&lt;=$E20+$F20-1),2,IF(AND($C20="Jalon",AB$7&gt;=$E20,AB$7&lt;=$E20+$F20-1),1,""))</f>
      </c>
      <c r="AC20" s="61">
        <f>IF(AND($C20="Objectif",AC$7&gt;=$E20,AC$7&lt;=$E20+$F20-1),2,IF(AND($C20="Jalon",AC$7&gt;=$E20,AC$7&lt;=$E20+$F20-1),1,""))</f>
      </c>
      <c r="AD20" s="61">
        <f>IF(AND($C20="Objectif",AD$7&gt;=$E20,AD$7&lt;=$E20+$F20-1),2,IF(AND($C20="Jalon",AD$7&gt;=$E20,AD$7&lt;=$E20+$F20-1),1,""))</f>
      </c>
      <c r="AE20" s="61">
        <f>IF(AND($C20="Objectif",AE$7&gt;=$E20,AE$7&lt;=$E20+$F20-1),2,IF(AND($C20="Jalon",AE$7&gt;=$E20,AE$7&lt;=$E20+$F20-1),1,""))</f>
      </c>
      <c r="AF20" s="61">
        <f>IF(AND($C20="Objectif",AF$7&gt;=$E20,AF$7&lt;=$E20+$F20-1),2,IF(AND($C20="Jalon",AF$7&gt;=$E20,AF$7&lt;=$E20+$F20-1),1,""))</f>
      </c>
      <c r="AG20" s="61">
        <f>IF(AND($C20="Objectif",AG$7&gt;=$E20,AG$7&lt;=$E20+$F20-1),2,IF(AND($C20="Jalon",AG$7&gt;=$E20,AG$7&lt;=$E20+$F20-1),1,""))</f>
      </c>
      <c r="AH20" s="61">
        <f>IF(AND($C20="Objectif",AH$7&gt;=$E20,AH$7&lt;=$E20+$F20-1),2,IF(AND($C20="Jalon",AH$7&gt;=$E20,AH$7&lt;=$E20+$F20-1),1,""))</f>
      </c>
      <c r="AI20" s="61">
        <f>IF(AND($C20="Objectif",AI$7&gt;=$E20,AI$7&lt;=$E20+$F20-1),2,IF(AND($C20="Jalon",AI$7&gt;=$E20,AI$7&lt;=$E20+$F20-1),1,""))</f>
      </c>
      <c r="AJ20" s="61">
        <f>IF(AND($C20="Objectif",AJ$7&gt;=$E20,AJ$7&lt;=$E20+$F20-1),2,IF(AND($C20="Jalon",AJ$7&gt;=$E20,AJ$7&lt;=$E20+$F20-1),1,""))</f>
      </c>
      <c r="AK20" s="61">
        <f>IF(AND($C20="Objectif",AK$7&gt;=$E20,AK$7&lt;=$E20+$F20-1),2,IF(AND($C20="Jalon",AK$7&gt;=$E20,AK$7&lt;=$E20+$F20-1),1,""))</f>
      </c>
      <c r="AL20" s="61">
        <f>IF(AND($C20="Objectif",AL$7&gt;=$E20,AL$7&lt;=$E20+$F20-1),2,IF(AND($C20="Jalon",AL$7&gt;=$E20,AL$7&lt;=$E20+$F20-1),1,""))</f>
      </c>
      <c r="AM20" s="61">
        <f>IF(AND($C20="Objectif",AM$7&gt;=$E20,AM$7&lt;=$E20+$F20-1),2,IF(AND($C20="Jalon",AM$7&gt;=$E20,AM$7&lt;=$E20+$F20-1),1,""))</f>
      </c>
      <c r="AN20" s="61">
        <f>IF(AND($C20="Objectif",AN$7&gt;=$E20,AN$7&lt;=$E20+$F20-1),2,IF(AND($C20="Jalon",AN$7&gt;=$E20,AN$7&lt;=$E20+$F20-1),1,""))</f>
      </c>
      <c r="AO20" s="61">
        <f>IF(AND($C20="Objectif",AO$7&gt;=$E20,AO$7&lt;=$E20+$F20-1),2,IF(AND($C20="Jalon",AO$7&gt;=$E20,AO$7&lt;=$E20+$F20-1),1,""))</f>
      </c>
      <c r="AP20" s="61">
        <f>IF(AND($C20="Objectif",AP$7&gt;=$E20,AP$7&lt;=$E20+$F20-1),2,IF(AND($C20="Jalon",AP$7&gt;=$E20,AP$7&lt;=$E20+$F20-1),1,""))</f>
      </c>
      <c r="AQ20" s="61">
        <f>IF(AND($C20="Objectif",AQ$7&gt;=$E20,AQ$7&lt;=$E20+$F20-1),2,IF(AND($C20="Jalon",AQ$7&gt;=$E20,AQ$7&lt;=$E20+$F20-1),1,""))</f>
      </c>
      <c r="AR20" s="61">
        <f>IF(AND($C20="Objectif",AR$7&gt;=$E20,AR$7&lt;=$E20+$F20-1),2,IF(AND($C20="Jalon",AR$7&gt;=$E20,AR$7&lt;=$E20+$F20-1),1,""))</f>
      </c>
      <c r="AS20" s="61">
        <f>IF(AND($C20="Objectif",AS$7&gt;=$E20,AS$7&lt;=$E20+$F20-1),2,IF(AND($C20="Jalon",AS$7&gt;=$E20,AS$7&lt;=$E20+$F20-1),1,""))</f>
      </c>
      <c r="AT20" s="61">
        <f>IF(AND($C20="Objectif",AT$7&gt;=$E20,AT$7&lt;=$E20+$F20-1),2,IF(AND($C20="Jalon",AT$7&gt;=$E20,AT$7&lt;=$E20+$F20-1),1,""))</f>
      </c>
      <c r="AU20" s="61">
        <f>IF(AND($C20="Objectif",AU$7&gt;=$E20,AU$7&lt;=$E20+$F20-1),2,IF(AND($C20="Jalon",AU$7&gt;=$E20,AU$7&lt;=$E20+$F20-1),1,""))</f>
      </c>
      <c r="AV20" s="61">
        <f>IF(AND($C20="Objectif",AV$7&gt;=$E20,AV$7&lt;=$E20+$F20-1),2,IF(AND($C20="Jalon",AV$7&gt;=$E20,AV$7&lt;=$E20+$F20-1),1,""))</f>
      </c>
      <c r="AW20" s="61">
        <f>IF(AND($C20="Objectif",AW$7&gt;=$E20,AW$7&lt;=$E20+$F20-1),2,IF(AND($C20="Jalon",AW$7&gt;=$E20,AW$7&lt;=$E20+$F20-1),1,""))</f>
      </c>
      <c r="AX20" s="61">
        <f>IF(AND($C20="Objectif",AX$7&gt;=$E20,AX$7&lt;=$E20+$F20-1),2,IF(AND($C20="Jalon",AX$7&gt;=$E20,AX$7&lt;=$E20+$F20-1),1,""))</f>
      </c>
      <c r="AY20" s="61">
        <f>IF(AND($C20="Objectif",AY$7&gt;=$E20,AY$7&lt;=$E20+$F20-1),2,IF(AND($C20="Jalon",AY$7&gt;=$E20,AY$7&lt;=$E20+$F20-1),1,""))</f>
      </c>
      <c r="AZ20" s="61">
        <f>IF(AND($C20="Objectif",AZ$7&gt;=$E20,AZ$7&lt;=$E20+$F20-1),2,IF(AND($C20="Jalon",AZ$7&gt;=$E20,AZ$7&lt;=$E20+$F20-1),1,""))</f>
      </c>
      <c r="BA20" s="61">
        <f>IF(AND($C20="Objectif",BA$7&gt;=$E20,BA$7&lt;=$E20+$F20-1),2,IF(AND($C20="Jalon",BA$7&gt;=$E20,BA$7&lt;=$E20+$F20-1),1,""))</f>
      </c>
      <c r="BB20" s="61">
        <f>IF(AND($C20="Objectif",BB$7&gt;=$E20,BB$7&lt;=$E20+$F20-1),2,IF(AND($C20="Jalon",BB$7&gt;=$E20,BB$7&lt;=$E20+$F20-1),1,""))</f>
      </c>
      <c r="BC20" s="61">
        <f>IF(AND($C20="Objectif",BC$7&gt;=$E20,BC$7&lt;=$E20+$F20-1),2,IF(AND($C20="Jalon",BC$7&gt;=$E20,BC$7&lt;=$E20+$F20-1),1,""))</f>
      </c>
      <c r="BD20" s="61">
        <f>IF(AND($C20="Objectif",BD$7&gt;=$E20,BD$7&lt;=$E20+$F20-1),2,IF(AND($C20="Jalon",BD$7&gt;=$E20,BD$7&lt;=$E20+$F20-1),1,""))</f>
      </c>
      <c r="BE20" s="61">
        <f>IF(AND($C20="Objectif",BE$7&gt;=$E20,BE$7&lt;=$E20+$F20-1),2,IF(AND($C20="Jalon",BE$7&gt;=$E20,BE$7&lt;=$E20+$F20-1),1,""))</f>
      </c>
      <c r="BF20" s="61">
        <f>IF(AND($C20="Objectif",BF$7&gt;=$E20,BF$7&lt;=$E20+$F20-1),2,IF(AND($C20="Jalon",BF$7&gt;=$E20,BF$7&lt;=$E20+$F20-1),1,""))</f>
      </c>
      <c r="BG20" s="61">
        <f>IF(AND($C20="Objectif",BG$7&gt;=$E20,BG$7&lt;=$E20+$F20-1),2,IF(AND($C20="Jalon",BG$7&gt;=$E20,BG$7&lt;=$E20+$F20-1),1,""))</f>
      </c>
      <c r="BH20" s="61">
        <f>IF(AND($C20="Objectif",BH$7&gt;=$E20,BH$7&lt;=$E20+$F20-1),2,IF(AND($C20="Jalon",BH$7&gt;=$E20,BH$7&lt;=$E20+$F20-1),1,""))</f>
      </c>
      <c r="BI20" s="61">
        <f>IF(AND($C20="Objectif",BI$7&gt;=$E20,BI$7&lt;=$E20+$F20-1),2,IF(AND($C20="Jalon",BI$7&gt;=$E20,BI$7&lt;=$E20+$F20-1),1,""))</f>
      </c>
      <c r="BJ20" s="61">
        <f>IF(AND($C20="Objectif",BJ$7&gt;=$E20,BJ$7&lt;=$E20+$F20-1),2,IF(AND($C20="Jalon",BJ$7&gt;=$E20,BJ$7&lt;=$E20+$F20-1),1,""))</f>
      </c>
      <c r="BK20" s="61">
        <f>IF(AND($C20="Objectif",BK$7&gt;=$E20,BK$7&lt;=$E20+$F20-1),2,IF(AND($C20="Jalon",BK$7&gt;=$E20,BK$7&lt;=$E20+$F20-1),1,""))</f>
      </c>
      <c r="BL20" s="1"/>
      <c r="BM20" s="1"/>
      <c r="BN20" s="1"/>
      <c r="BO20" s="1"/>
    </row>
    <row x14ac:dyDescent="0.25" r="21" customHeight="1" ht="40.2">
      <c r="A21" s="64"/>
      <c r="B21" s="63" t="s">
        <v>28</v>
      </c>
      <c r="C21" s="58" t="s">
        <v>6</v>
      </c>
      <c r="D21" s="59">
        <v>0.4</v>
      </c>
      <c r="E21" s="26">
        <f>E20+F20</f>
        <v>25569.125</v>
      </c>
      <c r="F21" s="58">
        <v>3</v>
      </c>
      <c r="G21" s="60"/>
      <c r="H21" s="61">
        <f>IF(AND($C21="Objectif",H$7&gt;=$E21,H$7&lt;=$E21+$F21-1),2,IF(AND($C21="Jalon",H$7&gt;=$E21,H$7&lt;=$E21+$F21-1),1,""))</f>
      </c>
      <c r="I21" s="61">
        <f>IF(AND($C21="Objectif",I$7&gt;=$E21,I$7&lt;=$E21+$F21-1),2,IF(AND($C21="Jalon",I$7&gt;=$E21,I$7&lt;=$E21+$F21-1),1,""))</f>
      </c>
      <c r="J21" s="61">
        <f>IF(AND($C21="Objectif",J$7&gt;=$E21,J$7&lt;=$E21+$F21-1),2,IF(AND($C21="Jalon",J$7&gt;=$E21,J$7&lt;=$E21+$F21-1),1,""))</f>
      </c>
      <c r="K21" s="61">
        <f>IF(AND($C21="Objectif",K$7&gt;=$E21,K$7&lt;=$E21+$F21-1),2,IF(AND($C21="Jalon",K$7&gt;=$E21,K$7&lt;=$E21+$F21-1),1,""))</f>
      </c>
      <c r="L21" s="61">
        <f>IF(AND($C21="Objectif",L$7&gt;=$E21,L$7&lt;=$E21+$F21-1),2,IF(AND($C21="Jalon",L$7&gt;=$E21,L$7&lt;=$E21+$F21-1),1,""))</f>
      </c>
      <c r="M21" s="61">
        <f>IF(AND($C21="Objectif",M$7&gt;=$E21,M$7&lt;=$E21+$F21-1),2,IF(AND($C21="Jalon",M$7&gt;=$E21,M$7&lt;=$E21+$F21-1),1,""))</f>
      </c>
      <c r="N21" s="61">
        <f>IF(AND($C21="Objectif",N$7&gt;=$E21,N$7&lt;=$E21+$F21-1),2,IF(AND($C21="Jalon",N$7&gt;=$E21,N$7&lt;=$E21+$F21-1),1,""))</f>
      </c>
      <c r="O21" s="61">
        <f>IF(AND($C21="Objectif",O$7&gt;=$E21,O$7&lt;=$E21+$F21-1),2,IF(AND($C21="Jalon",O$7&gt;=$E21,O$7&lt;=$E21+$F21-1),1,""))</f>
      </c>
      <c r="P21" s="61">
        <f>IF(AND($C21="Objectif",P$7&gt;=$E21,P$7&lt;=$E21+$F21-1),2,IF(AND($C21="Jalon",P$7&gt;=$E21,P$7&lt;=$E21+$F21-1),1,""))</f>
      </c>
      <c r="Q21" s="61">
        <f>IF(AND($C21="Objectif",Q$7&gt;=$E21,Q$7&lt;=$E21+$F21-1),2,IF(AND($C21="Jalon",Q$7&gt;=$E21,Q$7&lt;=$E21+$F21-1),1,""))</f>
      </c>
      <c r="R21" s="61">
        <f>IF(AND($C21="Objectif",R$7&gt;=$E21,R$7&lt;=$E21+$F21-1),2,IF(AND($C21="Jalon",R$7&gt;=$E21,R$7&lt;=$E21+$F21-1),1,""))</f>
      </c>
      <c r="S21" s="61">
        <f>IF(AND($C21="Objectif",S$7&gt;=$E21,S$7&lt;=$E21+$F21-1),2,IF(AND($C21="Jalon",S$7&gt;=$E21,S$7&lt;=$E21+$F21-1),1,""))</f>
      </c>
      <c r="T21" s="61">
        <f>IF(AND($C21="Objectif",T$7&gt;=$E21,T$7&lt;=$E21+$F21-1),2,IF(AND($C21="Jalon",T$7&gt;=$E21,T$7&lt;=$E21+$F21-1),1,""))</f>
      </c>
      <c r="U21" s="61">
        <f>IF(AND($C21="Objectif",U$7&gt;=$E21,U$7&lt;=$E21+$F21-1),2,IF(AND($C21="Jalon",U$7&gt;=$E21,U$7&lt;=$E21+$F21-1),1,""))</f>
      </c>
      <c r="V21" s="61">
        <f>IF(AND($C21="Objectif",V$7&gt;=$E21,V$7&lt;=$E21+$F21-1),2,IF(AND($C21="Jalon",V$7&gt;=$E21,V$7&lt;=$E21+$F21-1),1,""))</f>
      </c>
      <c r="W21" s="61">
        <f>IF(AND($C21="Objectif",W$7&gt;=$E21,W$7&lt;=$E21+$F21-1),2,IF(AND($C21="Jalon",W$7&gt;=$E21,W$7&lt;=$E21+$F21-1),1,""))</f>
      </c>
      <c r="X21" s="61">
        <f>IF(AND($C21="Objectif",X$7&gt;=$E21,X$7&lt;=$E21+$F21-1),2,IF(AND($C21="Jalon",X$7&gt;=$E21,X$7&lt;=$E21+$F21-1),1,""))</f>
      </c>
      <c r="Y21" s="61">
        <f>IF(AND($C21="Objectif",Y$7&gt;=$E21,Y$7&lt;=$E21+$F21-1),2,IF(AND($C21="Jalon",Y$7&gt;=$E21,Y$7&lt;=$E21+$F21-1),1,""))</f>
      </c>
      <c r="Z21" s="61">
        <f>IF(AND($C21="Objectif",Z$7&gt;=$E21,Z$7&lt;=$E21+$F21-1),2,IF(AND($C21="Jalon",Z$7&gt;=$E21,Z$7&lt;=$E21+$F21-1),1,""))</f>
      </c>
      <c r="AA21" s="61">
        <f>IF(AND($C21="Objectif",AA$7&gt;=$E21,AA$7&lt;=$E21+$F21-1),2,IF(AND($C21="Jalon",AA$7&gt;=$E21,AA$7&lt;=$E21+$F21-1),1,""))</f>
      </c>
      <c r="AB21" s="61">
        <f>IF(AND($C21="Objectif",AB$7&gt;=$E21,AB$7&lt;=$E21+$F21-1),2,IF(AND($C21="Jalon",AB$7&gt;=$E21,AB$7&lt;=$E21+$F21-1),1,""))</f>
      </c>
      <c r="AC21" s="61">
        <f>IF(AND($C21="Objectif",AC$7&gt;=$E21,AC$7&lt;=$E21+$F21-1),2,IF(AND($C21="Jalon",AC$7&gt;=$E21,AC$7&lt;=$E21+$F21-1),1,""))</f>
      </c>
      <c r="AD21" s="61">
        <f>IF(AND($C21="Objectif",AD$7&gt;=$E21,AD$7&lt;=$E21+$F21-1),2,IF(AND($C21="Jalon",AD$7&gt;=$E21,AD$7&lt;=$E21+$F21-1),1,""))</f>
      </c>
      <c r="AE21" s="61">
        <f>IF(AND($C21="Objectif",AE$7&gt;=$E21,AE$7&lt;=$E21+$F21-1),2,IF(AND($C21="Jalon",AE$7&gt;=$E21,AE$7&lt;=$E21+$F21-1),1,""))</f>
      </c>
      <c r="AF21" s="61">
        <f>IF(AND($C21="Objectif",AF$7&gt;=$E21,AF$7&lt;=$E21+$F21-1),2,IF(AND($C21="Jalon",AF$7&gt;=$E21,AF$7&lt;=$E21+$F21-1),1,""))</f>
      </c>
      <c r="AG21" s="61">
        <f>IF(AND($C21="Objectif",AG$7&gt;=$E21,AG$7&lt;=$E21+$F21-1),2,IF(AND($C21="Jalon",AG$7&gt;=$E21,AG$7&lt;=$E21+$F21-1),1,""))</f>
      </c>
      <c r="AH21" s="61">
        <f>IF(AND($C21="Objectif",AH$7&gt;=$E21,AH$7&lt;=$E21+$F21-1),2,IF(AND($C21="Jalon",AH$7&gt;=$E21,AH$7&lt;=$E21+$F21-1),1,""))</f>
      </c>
      <c r="AI21" s="61">
        <f>IF(AND($C21="Objectif",AI$7&gt;=$E21,AI$7&lt;=$E21+$F21-1),2,IF(AND($C21="Jalon",AI$7&gt;=$E21,AI$7&lt;=$E21+$F21-1),1,""))</f>
      </c>
      <c r="AJ21" s="61">
        <f>IF(AND($C21="Objectif",AJ$7&gt;=$E21,AJ$7&lt;=$E21+$F21-1),2,IF(AND($C21="Jalon",AJ$7&gt;=$E21,AJ$7&lt;=$E21+$F21-1),1,""))</f>
      </c>
      <c r="AK21" s="61">
        <f>IF(AND($C21="Objectif",AK$7&gt;=$E21,AK$7&lt;=$E21+$F21-1),2,IF(AND($C21="Jalon",AK$7&gt;=$E21,AK$7&lt;=$E21+$F21-1),1,""))</f>
      </c>
      <c r="AL21" s="61">
        <f>IF(AND($C21="Objectif",AL$7&gt;=$E21,AL$7&lt;=$E21+$F21-1),2,IF(AND($C21="Jalon",AL$7&gt;=$E21,AL$7&lt;=$E21+$F21-1),1,""))</f>
      </c>
      <c r="AM21" s="61">
        <f>IF(AND($C21="Objectif",AM$7&gt;=$E21,AM$7&lt;=$E21+$F21-1),2,IF(AND($C21="Jalon",AM$7&gt;=$E21,AM$7&lt;=$E21+$F21-1),1,""))</f>
      </c>
      <c r="AN21" s="61">
        <f>IF(AND($C21="Objectif",AN$7&gt;=$E21,AN$7&lt;=$E21+$F21-1),2,IF(AND($C21="Jalon",AN$7&gt;=$E21,AN$7&lt;=$E21+$F21-1),1,""))</f>
      </c>
      <c r="AO21" s="61">
        <f>IF(AND($C21="Objectif",AO$7&gt;=$E21,AO$7&lt;=$E21+$F21-1),2,IF(AND($C21="Jalon",AO$7&gt;=$E21,AO$7&lt;=$E21+$F21-1),1,""))</f>
      </c>
      <c r="AP21" s="61">
        <f>IF(AND($C21="Objectif",AP$7&gt;=$E21,AP$7&lt;=$E21+$F21-1),2,IF(AND($C21="Jalon",AP$7&gt;=$E21,AP$7&lt;=$E21+$F21-1),1,""))</f>
      </c>
      <c r="AQ21" s="61">
        <f>IF(AND($C21="Objectif",AQ$7&gt;=$E21,AQ$7&lt;=$E21+$F21-1),2,IF(AND($C21="Jalon",AQ$7&gt;=$E21,AQ$7&lt;=$E21+$F21-1),1,""))</f>
      </c>
      <c r="AR21" s="61">
        <f>IF(AND($C21="Objectif",AR$7&gt;=$E21,AR$7&lt;=$E21+$F21-1),2,IF(AND($C21="Jalon",AR$7&gt;=$E21,AR$7&lt;=$E21+$F21-1),1,""))</f>
      </c>
      <c r="AS21" s="61">
        <f>IF(AND($C21="Objectif",AS$7&gt;=$E21,AS$7&lt;=$E21+$F21-1),2,IF(AND($C21="Jalon",AS$7&gt;=$E21,AS$7&lt;=$E21+$F21-1),1,""))</f>
      </c>
      <c r="AT21" s="61">
        <f>IF(AND($C21="Objectif",AT$7&gt;=$E21,AT$7&lt;=$E21+$F21-1),2,IF(AND($C21="Jalon",AT$7&gt;=$E21,AT$7&lt;=$E21+$F21-1),1,""))</f>
      </c>
      <c r="AU21" s="61">
        <f>IF(AND($C21="Objectif",AU$7&gt;=$E21,AU$7&lt;=$E21+$F21-1),2,IF(AND($C21="Jalon",AU$7&gt;=$E21,AU$7&lt;=$E21+$F21-1),1,""))</f>
      </c>
      <c r="AV21" s="61">
        <f>IF(AND($C21="Objectif",AV$7&gt;=$E21,AV$7&lt;=$E21+$F21-1),2,IF(AND($C21="Jalon",AV$7&gt;=$E21,AV$7&lt;=$E21+$F21-1),1,""))</f>
      </c>
      <c r="AW21" s="61">
        <f>IF(AND($C21="Objectif",AW$7&gt;=$E21,AW$7&lt;=$E21+$F21-1),2,IF(AND($C21="Jalon",AW$7&gt;=$E21,AW$7&lt;=$E21+$F21-1),1,""))</f>
      </c>
      <c r="AX21" s="61">
        <f>IF(AND($C21="Objectif",AX$7&gt;=$E21,AX$7&lt;=$E21+$F21-1),2,IF(AND($C21="Jalon",AX$7&gt;=$E21,AX$7&lt;=$E21+$F21-1),1,""))</f>
      </c>
      <c r="AY21" s="61">
        <f>IF(AND($C21="Objectif",AY$7&gt;=$E21,AY$7&lt;=$E21+$F21-1),2,IF(AND($C21="Jalon",AY$7&gt;=$E21,AY$7&lt;=$E21+$F21-1),1,""))</f>
      </c>
      <c r="AZ21" s="61">
        <f>IF(AND($C21="Objectif",AZ$7&gt;=$E21,AZ$7&lt;=$E21+$F21-1),2,IF(AND($C21="Jalon",AZ$7&gt;=$E21,AZ$7&lt;=$E21+$F21-1),1,""))</f>
      </c>
      <c r="BA21" s="61">
        <f>IF(AND($C21="Objectif",BA$7&gt;=$E21,BA$7&lt;=$E21+$F21-1),2,IF(AND($C21="Jalon",BA$7&gt;=$E21,BA$7&lt;=$E21+$F21-1),1,""))</f>
      </c>
      <c r="BB21" s="61">
        <f>IF(AND($C21="Objectif",BB$7&gt;=$E21,BB$7&lt;=$E21+$F21-1),2,IF(AND($C21="Jalon",BB$7&gt;=$E21,BB$7&lt;=$E21+$F21-1),1,""))</f>
      </c>
      <c r="BC21" s="61">
        <f>IF(AND($C21="Objectif",BC$7&gt;=$E21,BC$7&lt;=$E21+$F21-1),2,IF(AND($C21="Jalon",BC$7&gt;=$E21,BC$7&lt;=$E21+$F21-1),1,""))</f>
      </c>
      <c r="BD21" s="61">
        <f>IF(AND($C21="Objectif",BD$7&gt;=$E21,BD$7&lt;=$E21+$F21-1),2,IF(AND($C21="Jalon",BD$7&gt;=$E21,BD$7&lt;=$E21+$F21-1),1,""))</f>
      </c>
      <c r="BE21" s="61">
        <f>IF(AND($C21="Objectif",BE$7&gt;=$E21,BE$7&lt;=$E21+$F21-1),2,IF(AND($C21="Jalon",BE$7&gt;=$E21,BE$7&lt;=$E21+$F21-1),1,""))</f>
      </c>
      <c r="BF21" s="61">
        <f>IF(AND($C21="Objectif",BF$7&gt;=$E21,BF$7&lt;=$E21+$F21-1),2,IF(AND($C21="Jalon",BF$7&gt;=$E21,BF$7&lt;=$E21+$F21-1),1,""))</f>
      </c>
      <c r="BG21" s="61">
        <f>IF(AND($C21="Objectif",BG$7&gt;=$E21,BG$7&lt;=$E21+$F21-1),2,IF(AND($C21="Jalon",BG$7&gt;=$E21,BG$7&lt;=$E21+$F21-1),1,""))</f>
      </c>
      <c r="BH21" s="61">
        <f>IF(AND($C21="Objectif",BH$7&gt;=$E21,BH$7&lt;=$E21+$F21-1),2,IF(AND($C21="Jalon",BH$7&gt;=$E21,BH$7&lt;=$E21+$F21-1),1,""))</f>
      </c>
      <c r="BI21" s="61">
        <f>IF(AND($C21="Objectif",BI$7&gt;=$E21,BI$7&lt;=$E21+$F21-1),2,IF(AND($C21="Jalon",BI$7&gt;=$E21,BI$7&lt;=$E21+$F21-1),1,""))</f>
      </c>
      <c r="BJ21" s="61">
        <f>IF(AND($C21="Objectif",BJ$7&gt;=$E21,BJ$7&lt;=$E21+$F21-1),2,IF(AND($C21="Jalon",BJ$7&gt;=$E21,BJ$7&lt;=$E21+$F21-1),1,""))</f>
      </c>
      <c r="BK21" s="61">
        <f>IF(AND($C21="Objectif",BK$7&gt;=$E21,BK$7&lt;=$E21+$F21-1),2,IF(AND($C21="Jalon",BK$7&gt;=$E21,BK$7&lt;=$E21+$F21-1),1,""))</f>
      </c>
      <c r="BL21" s="1"/>
      <c r="BM21" s="1"/>
      <c r="BN21" s="1"/>
      <c r="BO21" s="1"/>
    </row>
    <row x14ac:dyDescent="0.25" r="22" customHeight="1" ht="40.2">
      <c r="A22" s="64"/>
      <c r="B22" s="63" t="s">
        <v>29</v>
      </c>
      <c r="C22" s="58" t="s">
        <v>23</v>
      </c>
      <c r="D22" s="59">
        <v>0.76</v>
      </c>
      <c r="E22" s="26">
        <f>E21+F21</f>
        <v>25569.125</v>
      </c>
      <c r="F22" s="58">
        <v>1</v>
      </c>
      <c r="G22" s="60"/>
      <c r="H22" s="61">
        <f>IF(AND($C22="Objectif",H$7&gt;=$E22,H$7&lt;=$E22+$F22-1),2,IF(AND($C22="Jalon",H$7&gt;=$E22,H$7&lt;=$E22+$F22-1),1,""))</f>
      </c>
      <c r="I22" s="61">
        <f>IF(AND($C22="Objectif",I$7&gt;=$E22,I$7&lt;=$E22+$F22-1),2,IF(AND($C22="Jalon",I$7&gt;=$E22,I$7&lt;=$E22+$F22-1),1,""))</f>
      </c>
      <c r="J22" s="61">
        <f>IF(AND($C22="Objectif",J$7&gt;=$E22,J$7&lt;=$E22+$F22-1),2,IF(AND($C22="Jalon",J$7&gt;=$E22,J$7&lt;=$E22+$F22-1),1,""))</f>
      </c>
      <c r="K22" s="61">
        <f>IF(AND($C22="Objectif",K$7&gt;=$E22,K$7&lt;=$E22+$F22-1),2,IF(AND($C22="Jalon",K$7&gt;=$E22,K$7&lt;=$E22+$F22-1),1,""))</f>
      </c>
      <c r="L22" s="61">
        <f>IF(AND($C22="Objectif",L$7&gt;=$E22,L$7&lt;=$E22+$F22-1),2,IF(AND($C22="Jalon",L$7&gt;=$E22,L$7&lt;=$E22+$F22-1),1,""))</f>
      </c>
      <c r="M22" s="61">
        <f>IF(AND($C22="Objectif",M$7&gt;=$E22,M$7&lt;=$E22+$F22-1),2,IF(AND($C22="Jalon",M$7&gt;=$E22,M$7&lt;=$E22+$F22-1),1,""))</f>
      </c>
      <c r="N22" s="61">
        <f>IF(AND($C22="Objectif",N$7&gt;=$E22,N$7&lt;=$E22+$F22-1),2,IF(AND($C22="Jalon",N$7&gt;=$E22,N$7&lt;=$E22+$F22-1),1,""))</f>
      </c>
      <c r="O22" s="61">
        <f>IF(AND($C22="Objectif",O$7&gt;=$E22,O$7&lt;=$E22+$F22-1),2,IF(AND($C22="Jalon",O$7&gt;=$E22,O$7&lt;=$E22+$F22-1),1,""))</f>
      </c>
      <c r="P22" s="61">
        <f>IF(AND($C22="Objectif",P$7&gt;=$E22,P$7&lt;=$E22+$F22-1),2,IF(AND($C22="Jalon",P$7&gt;=$E22,P$7&lt;=$E22+$F22-1),1,""))</f>
      </c>
      <c r="Q22" s="61">
        <f>IF(AND($C22="Objectif",Q$7&gt;=$E22,Q$7&lt;=$E22+$F22-1),2,IF(AND($C22="Jalon",Q$7&gt;=$E22,Q$7&lt;=$E22+$F22-1),1,""))</f>
      </c>
      <c r="R22" s="61">
        <f>IF(AND($C22="Objectif",R$7&gt;=$E22,R$7&lt;=$E22+$F22-1),2,IF(AND($C22="Jalon",R$7&gt;=$E22,R$7&lt;=$E22+$F22-1),1,""))</f>
      </c>
      <c r="S22" s="61">
        <f>IF(AND($C22="Objectif",S$7&gt;=$E22,S$7&lt;=$E22+$F22-1),2,IF(AND($C22="Jalon",S$7&gt;=$E22,S$7&lt;=$E22+$F22-1),1,""))</f>
      </c>
      <c r="T22" s="61">
        <f>IF(AND($C22="Objectif",T$7&gt;=$E22,T$7&lt;=$E22+$F22-1),2,IF(AND($C22="Jalon",T$7&gt;=$E22,T$7&lt;=$E22+$F22-1),1,""))</f>
      </c>
      <c r="U22" s="61">
        <f>IF(AND($C22="Objectif",U$7&gt;=$E22,U$7&lt;=$E22+$F22-1),2,IF(AND($C22="Jalon",U$7&gt;=$E22,U$7&lt;=$E22+$F22-1),1,""))</f>
      </c>
      <c r="V22" s="61">
        <f>IF(AND($C22="Objectif",V$7&gt;=$E22,V$7&lt;=$E22+$F22-1),2,IF(AND($C22="Jalon",V$7&gt;=$E22,V$7&lt;=$E22+$F22-1),1,""))</f>
      </c>
      <c r="W22" s="61">
        <f>IF(AND($C22="Objectif",W$7&gt;=$E22,W$7&lt;=$E22+$F22-1),2,IF(AND($C22="Jalon",W$7&gt;=$E22,W$7&lt;=$E22+$F22-1),1,""))</f>
      </c>
      <c r="X22" s="61">
        <f>IF(AND($C22="Objectif",X$7&gt;=$E22,X$7&lt;=$E22+$F22-1),2,IF(AND($C22="Jalon",X$7&gt;=$E22,X$7&lt;=$E22+$F22-1),1,""))</f>
      </c>
      <c r="Y22" s="61">
        <f>IF(AND($C22="Objectif",Y$7&gt;=$E22,Y$7&lt;=$E22+$F22-1),2,IF(AND($C22="Jalon",Y$7&gt;=$E22,Y$7&lt;=$E22+$F22-1),1,""))</f>
      </c>
      <c r="Z22" s="61">
        <f>IF(AND($C22="Objectif",Z$7&gt;=$E22,Z$7&lt;=$E22+$F22-1),2,IF(AND($C22="Jalon",Z$7&gt;=$E22,Z$7&lt;=$E22+$F22-1),1,""))</f>
      </c>
      <c r="AA22" s="61">
        <f>IF(AND($C22="Objectif",AA$7&gt;=$E22,AA$7&lt;=$E22+$F22-1),2,IF(AND($C22="Jalon",AA$7&gt;=$E22,AA$7&lt;=$E22+$F22-1),1,""))</f>
      </c>
      <c r="AB22" s="61">
        <f>IF(AND($C22="Objectif",AB$7&gt;=$E22,AB$7&lt;=$E22+$F22-1),2,IF(AND($C22="Jalon",AB$7&gt;=$E22,AB$7&lt;=$E22+$F22-1),1,""))</f>
      </c>
      <c r="AC22" s="61">
        <f>IF(AND($C22="Objectif",AC$7&gt;=$E22,AC$7&lt;=$E22+$F22-1),2,IF(AND($C22="Jalon",AC$7&gt;=$E22,AC$7&lt;=$E22+$F22-1),1,""))</f>
      </c>
      <c r="AD22" s="61">
        <f>IF(AND($C22="Objectif",AD$7&gt;=$E22,AD$7&lt;=$E22+$F22-1),2,IF(AND($C22="Jalon",AD$7&gt;=$E22,AD$7&lt;=$E22+$F22-1),1,""))</f>
      </c>
      <c r="AE22" s="61">
        <f>IF(AND($C22="Objectif",AE$7&gt;=$E22,AE$7&lt;=$E22+$F22-1),2,IF(AND($C22="Jalon",AE$7&gt;=$E22,AE$7&lt;=$E22+$F22-1),1,""))</f>
      </c>
      <c r="AF22" s="61">
        <f>IF(AND($C22="Objectif",AF$7&gt;=$E22,AF$7&lt;=$E22+$F22-1),2,IF(AND($C22="Jalon",AF$7&gt;=$E22,AF$7&lt;=$E22+$F22-1),1,""))</f>
      </c>
      <c r="AG22" s="61">
        <f>IF(AND($C22="Objectif",AG$7&gt;=$E22,AG$7&lt;=$E22+$F22-1),2,IF(AND($C22="Jalon",AG$7&gt;=$E22,AG$7&lt;=$E22+$F22-1),1,""))</f>
      </c>
      <c r="AH22" s="61">
        <f>IF(AND($C22="Objectif",AH$7&gt;=$E22,AH$7&lt;=$E22+$F22-1),2,IF(AND($C22="Jalon",AH$7&gt;=$E22,AH$7&lt;=$E22+$F22-1),1,""))</f>
      </c>
      <c r="AI22" s="61">
        <f>IF(AND($C22="Objectif",AI$7&gt;=$E22,AI$7&lt;=$E22+$F22-1),2,IF(AND($C22="Jalon",AI$7&gt;=$E22,AI$7&lt;=$E22+$F22-1),1,""))</f>
      </c>
      <c r="AJ22" s="61">
        <f>IF(AND($C22="Objectif",AJ$7&gt;=$E22,AJ$7&lt;=$E22+$F22-1),2,IF(AND($C22="Jalon",AJ$7&gt;=$E22,AJ$7&lt;=$E22+$F22-1),1,""))</f>
      </c>
      <c r="AK22" s="61">
        <f>IF(AND($C22="Objectif",AK$7&gt;=$E22,AK$7&lt;=$E22+$F22-1),2,IF(AND($C22="Jalon",AK$7&gt;=$E22,AK$7&lt;=$E22+$F22-1),1,""))</f>
      </c>
      <c r="AL22" s="61">
        <f>IF(AND($C22="Objectif",AL$7&gt;=$E22,AL$7&lt;=$E22+$F22-1),2,IF(AND($C22="Jalon",AL$7&gt;=$E22,AL$7&lt;=$E22+$F22-1),1,""))</f>
      </c>
      <c r="AM22" s="61">
        <f>IF(AND($C22="Objectif",AM$7&gt;=$E22,AM$7&lt;=$E22+$F22-1),2,IF(AND($C22="Jalon",AM$7&gt;=$E22,AM$7&lt;=$E22+$F22-1),1,""))</f>
      </c>
      <c r="AN22" s="61">
        <f>IF(AND($C22="Objectif",AN$7&gt;=$E22,AN$7&lt;=$E22+$F22-1),2,IF(AND($C22="Jalon",AN$7&gt;=$E22,AN$7&lt;=$E22+$F22-1),1,""))</f>
      </c>
      <c r="AO22" s="61">
        <f>IF(AND($C22="Objectif",AO$7&gt;=$E22,AO$7&lt;=$E22+$F22-1),2,IF(AND($C22="Jalon",AO$7&gt;=$E22,AO$7&lt;=$E22+$F22-1),1,""))</f>
      </c>
      <c r="AP22" s="61">
        <f>IF(AND($C22="Objectif",AP$7&gt;=$E22,AP$7&lt;=$E22+$F22-1),2,IF(AND($C22="Jalon",AP$7&gt;=$E22,AP$7&lt;=$E22+$F22-1),1,""))</f>
      </c>
      <c r="AQ22" s="61">
        <f>IF(AND($C22="Objectif",AQ$7&gt;=$E22,AQ$7&lt;=$E22+$F22-1),2,IF(AND($C22="Jalon",AQ$7&gt;=$E22,AQ$7&lt;=$E22+$F22-1),1,""))</f>
      </c>
      <c r="AR22" s="61">
        <f>IF(AND($C22="Objectif",AR$7&gt;=$E22,AR$7&lt;=$E22+$F22-1),2,IF(AND($C22="Jalon",AR$7&gt;=$E22,AR$7&lt;=$E22+$F22-1),1,""))</f>
      </c>
      <c r="AS22" s="61">
        <f>IF(AND($C22="Objectif",AS$7&gt;=$E22,AS$7&lt;=$E22+$F22-1),2,IF(AND($C22="Jalon",AS$7&gt;=$E22,AS$7&lt;=$E22+$F22-1),1,""))</f>
      </c>
      <c r="AT22" s="61">
        <f>IF(AND($C22="Objectif",AT$7&gt;=$E22,AT$7&lt;=$E22+$F22-1),2,IF(AND($C22="Jalon",AT$7&gt;=$E22,AT$7&lt;=$E22+$F22-1),1,""))</f>
      </c>
      <c r="AU22" s="61">
        <f>IF(AND($C22="Objectif",AU$7&gt;=$E22,AU$7&lt;=$E22+$F22-1),2,IF(AND($C22="Jalon",AU$7&gt;=$E22,AU$7&lt;=$E22+$F22-1),1,""))</f>
      </c>
      <c r="AV22" s="61">
        <f>IF(AND($C22="Objectif",AV$7&gt;=$E22,AV$7&lt;=$E22+$F22-1),2,IF(AND($C22="Jalon",AV$7&gt;=$E22,AV$7&lt;=$E22+$F22-1),1,""))</f>
      </c>
      <c r="AW22" s="61">
        <f>IF(AND($C22="Objectif",AW$7&gt;=$E22,AW$7&lt;=$E22+$F22-1),2,IF(AND($C22="Jalon",AW$7&gt;=$E22,AW$7&lt;=$E22+$F22-1),1,""))</f>
      </c>
      <c r="AX22" s="61">
        <f>IF(AND($C22="Objectif",AX$7&gt;=$E22,AX$7&lt;=$E22+$F22-1),2,IF(AND($C22="Jalon",AX$7&gt;=$E22,AX$7&lt;=$E22+$F22-1),1,""))</f>
      </c>
      <c r="AY22" s="61">
        <f>IF(AND($C22="Objectif",AY$7&gt;=$E22,AY$7&lt;=$E22+$F22-1),2,IF(AND($C22="Jalon",AY$7&gt;=$E22,AY$7&lt;=$E22+$F22-1),1,""))</f>
      </c>
      <c r="AZ22" s="61">
        <f>IF(AND($C22="Objectif",AZ$7&gt;=$E22,AZ$7&lt;=$E22+$F22-1),2,IF(AND($C22="Jalon",AZ$7&gt;=$E22,AZ$7&lt;=$E22+$F22-1),1,""))</f>
      </c>
      <c r="BA22" s="61">
        <f>IF(AND($C22="Objectif",BA$7&gt;=$E22,BA$7&lt;=$E22+$F22-1),2,IF(AND($C22="Jalon",BA$7&gt;=$E22,BA$7&lt;=$E22+$F22-1),1,""))</f>
      </c>
      <c r="BB22" s="61">
        <f>IF(AND($C22="Objectif",BB$7&gt;=$E22,BB$7&lt;=$E22+$F22-1),2,IF(AND($C22="Jalon",BB$7&gt;=$E22,BB$7&lt;=$E22+$F22-1),1,""))</f>
      </c>
      <c r="BC22" s="61">
        <f>IF(AND($C22="Objectif",BC$7&gt;=$E22,BC$7&lt;=$E22+$F22-1),2,IF(AND($C22="Jalon",BC$7&gt;=$E22,BC$7&lt;=$E22+$F22-1),1,""))</f>
      </c>
      <c r="BD22" s="61">
        <f>IF(AND($C22="Objectif",BD$7&gt;=$E22,BD$7&lt;=$E22+$F22-1),2,IF(AND($C22="Jalon",BD$7&gt;=$E22,BD$7&lt;=$E22+$F22-1),1,""))</f>
      </c>
      <c r="BE22" s="61">
        <f>IF(AND($C22="Objectif",BE$7&gt;=$E22,BE$7&lt;=$E22+$F22-1),2,IF(AND($C22="Jalon",BE$7&gt;=$E22,BE$7&lt;=$E22+$F22-1),1,""))</f>
      </c>
      <c r="BF22" s="61">
        <f>IF(AND($C22="Objectif",BF$7&gt;=$E22,BF$7&lt;=$E22+$F22-1),2,IF(AND($C22="Jalon",BF$7&gt;=$E22,BF$7&lt;=$E22+$F22-1),1,""))</f>
      </c>
      <c r="BG22" s="61">
        <f>IF(AND($C22="Objectif",BG$7&gt;=$E22,BG$7&lt;=$E22+$F22-1),2,IF(AND($C22="Jalon",BG$7&gt;=$E22,BG$7&lt;=$E22+$F22-1),1,""))</f>
      </c>
      <c r="BH22" s="61">
        <f>IF(AND($C22="Objectif",BH$7&gt;=$E22,BH$7&lt;=$E22+$F22-1),2,IF(AND($C22="Jalon",BH$7&gt;=$E22,BH$7&lt;=$E22+$F22-1),1,""))</f>
      </c>
      <c r="BI22" s="61">
        <f>IF(AND($C22="Objectif",BI$7&gt;=$E22,BI$7&lt;=$E22+$F22-1),2,IF(AND($C22="Jalon",BI$7&gt;=$E22,BI$7&lt;=$E22+$F22-1),1,""))</f>
      </c>
      <c r="BJ22" s="61">
        <f>IF(AND($C22="Objectif",BJ$7&gt;=$E22,BJ$7&lt;=$E22+$F22-1),2,IF(AND($C22="Jalon",BJ$7&gt;=$E22,BJ$7&lt;=$E22+$F22-1),1,""))</f>
      </c>
      <c r="BK22" s="61">
        <f>IF(AND($C22="Objectif",BK$7&gt;=$E22,BK$7&lt;=$E22+$F22-1),2,IF(AND($C22="Jalon",BK$7&gt;=$E22,BK$7&lt;=$E22+$F22-1),1,""))</f>
      </c>
      <c r="BL22" s="1"/>
      <c r="BM22" s="1"/>
      <c r="BN22" s="1"/>
      <c r="BO22" s="1"/>
    </row>
    <row x14ac:dyDescent="0.25" r="23" customHeight="1" ht="40.2">
      <c r="A23" s="64"/>
      <c r="B23" s="57" t="s">
        <v>30</v>
      </c>
      <c r="C23" s="58"/>
      <c r="D23" s="59"/>
      <c r="E23" s="26">
        <f>E22+F22</f>
        <v>25569.125</v>
      </c>
      <c r="F23" s="58">
        <f>E28+F28-E23</f>
      </c>
      <c r="G23" s="60"/>
      <c r="H23" s="61">
        <f>IF(AND($C23="Objectif",H$7&gt;=$E23,H$7&lt;=$E23+$F23-1),2,IF(AND($C23="Jalon",H$7&gt;=$E23,H$7&lt;=$E23+$F23-1),1,""))</f>
      </c>
      <c r="I23" s="61">
        <f>IF(AND($C23="Objectif",I$7&gt;=$E23,I$7&lt;=$E23+$F23-1),2,IF(AND($C23="Jalon",I$7&gt;=$E23,I$7&lt;=$E23+$F23-1),1,""))</f>
      </c>
      <c r="J23" s="61">
        <f>IF(AND($C23="Objectif",J$7&gt;=$E23,J$7&lt;=$E23+$F23-1),2,IF(AND($C23="Jalon",J$7&gt;=$E23,J$7&lt;=$E23+$F23-1),1,""))</f>
      </c>
      <c r="K23" s="61">
        <f>IF(AND($C23="Objectif",K$7&gt;=$E23,K$7&lt;=$E23+$F23-1),2,IF(AND($C23="Jalon",K$7&gt;=$E23,K$7&lt;=$E23+$F23-1),1,""))</f>
      </c>
      <c r="L23" s="61">
        <f>IF(AND($C23="Objectif",L$7&gt;=$E23,L$7&lt;=$E23+$F23-1),2,IF(AND($C23="Jalon",L$7&gt;=$E23,L$7&lt;=$E23+$F23-1),1,""))</f>
      </c>
      <c r="M23" s="61">
        <f>IF(AND($C23="Objectif",M$7&gt;=$E23,M$7&lt;=$E23+$F23-1),2,IF(AND($C23="Jalon",M$7&gt;=$E23,M$7&lt;=$E23+$F23-1),1,""))</f>
      </c>
      <c r="N23" s="61">
        <f>IF(AND($C23="Objectif",N$7&gt;=$E23,N$7&lt;=$E23+$F23-1),2,IF(AND($C23="Jalon",N$7&gt;=$E23,N$7&lt;=$E23+$F23-1),1,""))</f>
      </c>
      <c r="O23" s="61">
        <f>IF(AND($C23="Objectif",O$7&gt;=$E23,O$7&lt;=$E23+$F23-1),2,IF(AND($C23="Jalon",O$7&gt;=$E23,O$7&lt;=$E23+$F23-1),1,""))</f>
      </c>
      <c r="P23" s="61">
        <f>IF(AND($C23="Objectif",P$7&gt;=$E23,P$7&lt;=$E23+$F23-1),2,IF(AND($C23="Jalon",P$7&gt;=$E23,P$7&lt;=$E23+$F23-1),1,""))</f>
      </c>
      <c r="Q23" s="61">
        <f>IF(AND($C23="Objectif",Q$7&gt;=$E23,Q$7&lt;=$E23+$F23-1),2,IF(AND($C23="Jalon",Q$7&gt;=$E23,Q$7&lt;=$E23+$F23-1),1,""))</f>
      </c>
      <c r="R23" s="61">
        <f>IF(AND($C23="Objectif",R$7&gt;=$E23,R$7&lt;=$E23+$F23-1),2,IF(AND($C23="Jalon",R$7&gt;=$E23,R$7&lt;=$E23+$F23-1),1,""))</f>
      </c>
      <c r="S23" s="61">
        <f>IF(AND($C23="Objectif",S$7&gt;=$E23,S$7&lt;=$E23+$F23-1),2,IF(AND($C23="Jalon",S$7&gt;=$E23,S$7&lt;=$E23+$F23-1),1,""))</f>
      </c>
      <c r="T23" s="61">
        <f>IF(AND($C23="Objectif",T$7&gt;=$E23,T$7&lt;=$E23+$F23-1),2,IF(AND($C23="Jalon",T$7&gt;=$E23,T$7&lt;=$E23+$F23-1),1,""))</f>
      </c>
      <c r="U23" s="61">
        <f>IF(AND($C23="Objectif",U$7&gt;=$E23,U$7&lt;=$E23+$F23-1),2,IF(AND($C23="Jalon",U$7&gt;=$E23,U$7&lt;=$E23+$F23-1),1,""))</f>
      </c>
      <c r="V23" s="61">
        <f>IF(AND($C23="Objectif",V$7&gt;=$E23,V$7&lt;=$E23+$F23-1),2,IF(AND($C23="Jalon",V$7&gt;=$E23,V$7&lt;=$E23+$F23-1),1,""))</f>
      </c>
      <c r="W23" s="61">
        <f>IF(AND($C23="Objectif",W$7&gt;=$E23,W$7&lt;=$E23+$F23-1),2,IF(AND($C23="Jalon",W$7&gt;=$E23,W$7&lt;=$E23+$F23-1),1,""))</f>
      </c>
      <c r="X23" s="61">
        <f>IF(AND($C23="Objectif",X$7&gt;=$E23,X$7&lt;=$E23+$F23-1),2,IF(AND($C23="Jalon",X$7&gt;=$E23,X$7&lt;=$E23+$F23-1),1,""))</f>
      </c>
      <c r="Y23" s="61">
        <f>IF(AND($C23="Objectif",Y$7&gt;=$E23,Y$7&lt;=$E23+$F23-1),2,IF(AND($C23="Jalon",Y$7&gt;=$E23,Y$7&lt;=$E23+$F23-1),1,""))</f>
      </c>
      <c r="Z23" s="61">
        <f>IF(AND($C23="Objectif",Z$7&gt;=$E23,Z$7&lt;=$E23+$F23-1),2,IF(AND($C23="Jalon",Z$7&gt;=$E23,Z$7&lt;=$E23+$F23-1),1,""))</f>
      </c>
      <c r="AA23" s="61">
        <f>IF(AND($C23="Objectif",AA$7&gt;=$E23,AA$7&lt;=$E23+$F23-1),2,IF(AND($C23="Jalon",AA$7&gt;=$E23,AA$7&lt;=$E23+$F23-1),1,""))</f>
      </c>
      <c r="AB23" s="61">
        <f>IF(AND($C23="Objectif",AB$7&gt;=$E23,AB$7&lt;=$E23+$F23-1),2,IF(AND($C23="Jalon",AB$7&gt;=$E23,AB$7&lt;=$E23+$F23-1),1,""))</f>
      </c>
      <c r="AC23" s="61">
        <f>IF(AND($C23="Objectif",AC$7&gt;=$E23,AC$7&lt;=$E23+$F23-1),2,IF(AND($C23="Jalon",AC$7&gt;=$E23,AC$7&lt;=$E23+$F23-1),1,""))</f>
      </c>
      <c r="AD23" s="61">
        <f>IF(AND($C23="Objectif",AD$7&gt;=$E23,AD$7&lt;=$E23+$F23-1),2,IF(AND($C23="Jalon",AD$7&gt;=$E23,AD$7&lt;=$E23+$F23-1),1,""))</f>
      </c>
      <c r="AE23" s="61">
        <f>IF(AND($C23="Objectif",AE$7&gt;=$E23,AE$7&lt;=$E23+$F23-1),2,IF(AND($C23="Jalon",AE$7&gt;=$E23,AE$7&lt;=$E23+$F23-1),1,""))</f>
      </c>
      <c r="AF23" s="61">
        <f>IF(AND($C23="Objectif",AF$7&gt;=$E23,AF$7&lt;=$E23+$F23-1),2,IF(AND($C23="Jalon",AF$7&gt;=$E23,AF$7&lt;=$E23+$F23-1),1,""))</f>
      </c>
      <c r="AG23" s="61">
        <f>IF(AND($C23="Objectif",AG$7&gt;=$E23,AG$7&lt;=$E23+$F23-1),2,IF(AND($C23="Jalon",AG$7&gt;=$E23,AG$7&lt;=$E23+$F23-1),1,""))</f>
      </c>
      <c r="AH23" s="61">
        <f>IF(AND($C23="Objectif",AH$7&gt;=$E23,AH$7&lt;=$E23+$F23-1),2,IF(AND($C23="Jalon",AH$7&gt;=$E23,AH$7&lt;=$E23+$F23-1),1,""))</f>
      </c>
      <c r="AI23" s="61">
        <f>IF(AND($C23="Objectif",AI$7&gt;=$E23,AI$7&lt;=$E23+$F23-1),2,IF(AND($C23="Jalon",AI$7&gt;=$E23,AI$7&lt;=$E23+$F23-1),1,""))</f>
      </c>
      <c r="AJ23" s="61">
        <f>IF(AND($C23="Objectif",AJ$7&gt;=$E23,AJ$7&lt;=$E23+$F23-1),2,IF(AND($C23="Jalon",AJ$7&gt;=$E23,AJ$7&lt;=$E23+$F23-1),1,""))</f>
      </c>
      <c r="AK23" s="61">
        <f>IF(AND($C23="Objectif",AK$7&gt;=$E23,AK$7&lt;=$E23+$F23-1),2,IF(AND($C23="Jalon",AK$7&gt;=$E23,AK$7&lt;=$E23+$F23-1),1,""))</f>
      </c>
      <c r="AL23" s="61">
        <f>IF(AND($C23="Objectif",AL$7&gt;=$E23,AL$7&lt;=$E23+$F23-1),2,IF(AND($C23="Jalon",AL$7&gt;=$E23,AL$7&lt;=$E23+$F23-1),1,""))</f>
      </c>
      <c r="AM23" s="61">
        <f>IF(AND($C23="Objectif",AM$7&gt;=$E23,AM$7&lt;=$E23+$F23-1),2,IF(AND($C23="Jalon",AM$7&gt;=$E23,AM$7&lt;=$E23+$F23-1),1,""))</f>
      </c>
      <c r="AN23" s="61">
        <f>IF(AND($C23="Objectif",AN$7&gt;=$E23,AN$7&lt;=$E23+$F23-1),2,IF(AND($C23="Jalon",AN$7&gt;=$E23,AN$7&lt;=$E23+$F23-1),1,""))</f>
      </c>
      <c r="AO23" s="61">
        <f>IF(AND($C23="Objectif",AO$7&gt;=$E23,AO$7&lt;=$E23+$F23-1),2,IF(AND($C23="Jalon",AO$7&gt;=$E23,AO$7&lt;=$E23+$F23-1),1,""))</f>
      </c>
      <c r="AP23" s="61">
        <f>IF(AND($C23="Objectif",AP$7&gt;=$E23,AP$7&lt;=$E23+$F23-1),2,IF(AND($C23="Jalon",AP$7&gt;=$E23,AP$7&lt;=$E23+$F23-1),1,""))</f>
      </c>
      <c r="AQ23" s="61">
        <f>IF(AND($C23="Objectif",AQ$7&gt;=$E23,AQ$7&lt;=$E23+$F23-1),2,IF(AND($C23="Jalon",AQ$7&gt;=$E23,AQ$7&lt;=$E23+$F23-1),1,""))</f>
      </c>
      <c r="AR23" s="61">
        <f>IF(AND($C23="Objectif",AR$7&gt;=$E23,AR$7&lt;=$E23+$F23-1),2,IF(AND($C23="Jalon",AR$7&gt;=$E23,AR$7&lt;=$E23+$F23-1),1,""))</f>
      </c>
      <c r="AS23" s="61">
        <f>IF(AND($C23="Objectif",AS$7&gt;=$E23,AS$7&lt;=$E23+$F23-1),2,IF(AND($C23="Jalon",AS$7&gt;=$E23,AS$7&lt;=$E23+$F23-1),1,""))</f>
      </c>
      <c r="AT23" s="61">
        <f>IF(AND($C23="Objectif",AT$7&gt;=$E23,AT$7&lt;=$E23+$F23-1),2,IF(AND($C23="Jalon",AT$7&gt;=$E23,AT$7&lt;=$E23+$F23-1),1,""))</f>
      </c>
      <c r="AU23" s="61">
        <f>IF(AND($C23="Objectif",AU$7&gt;=$E23,AU$7&lt;=$E23+$F23-1),2,IF(AND($C23="Jalon",AU$7&gt;=$E23,AU$7&lt;=$E23+$F23-1),1,""))</f>
      </c>
      <c r="AV23" s="61">
        <f>IF(AND($C23="Objectif",AV$7&gt;=$E23,AV$7&lt;=$E23+$F23-1),2,IF(AND($C23="Jalon",AV$7&gt;=$E23,AV$7&lt;=$E23+$F23-1),1,""))</f>
      </c>
      <c r="AW23" s="61">
        <f>IF(AND($C23="Objectif",AW$7&gt;=$E23,AW$7&lt;=$E23+$F23-1),2,IF(AND($C23="Jalon",AW$7&gt;=$E23,AW$7&lt;=$E23+$F23-1),1,""))</f>
      </c>
      <c r="AX23" s="61">
        <f>IF(AND($C23="Objectif",AX$7&gt;=$E23,AX$7&lt;=$E23+$F23-1),2,IF(AND($C23="Jalon",AX$7&gt;=$E23,AX$7&lt;=$E23+$F23-1),1,""))</f>
      </c>
      <c r="AY23" s="61">
        <f>IF(AND($C23="Objectif",AY$7&gt;=$E23,AY$7&lt;=$E23+$F23-1),2,IF(AND($C23="Jalon",AY$7&gt;=$E23,AY$7&lt;=$E23+$F23-1),1,""))</f>
      </c>
      <c r="AZ23" s="61">
        <f>IF(AND($C23="Objectif",AZ$7&gt;=$E23,AZ$7&lt;=$E23+$F23-1),2,IF(AND($C23="Jalon",AZ$7&gt;=$E23,AZ$7&lt;=$E23+$F23-1),1,""))</f>
      </c>
      <c r="BA23" s="61">
        <f>IF(AND($C23="Objectif",BA$7&gt;=$E23,BA$7&lt;=$E23+$F23-1),2,IF(AND($C23="Jalon",BA$7&gt;=$E23,BA$7&lt;=$E23+$F23-1),1,""))</f>
      </c>
      <c r="BB23" s="61">
        <f>IF(AND($C23="Objectif",BB$7&gt;=$E23,BB$7&lt;=$E23+$F23-1),2,IF(AND($C23="Jalon",BB$7&gt;=$E23,BB$7&lt;=$E23+$F23-1),1,""))</f>
      </c>
      <c r="BC23" s="61">
        <f>IF(AND($C23="Objectif",BC$7&gt;=$E23,BC$7&lt;=$E23+$F23-1),2,IF(AND($C23="Jalon",BC$7&gt;=$E23,BC$7&lt;=$E23+$F23-1),1,""))</f>
      </c>
      <c r="BD23" s="61">
        <f>IF(AND($C23="Objectif",BD$7&gt;=$E23,BD$7&lt;=$E23+$F23-1),2,IF(AND($C23="Jalon",BD$7&gt;=$E23,BD$7&lt;=$E23+$F23-1),1,""))</f>
      </c>
      <c r="BE23" s="61">
        <f>IF(AND($C23="Objectif",BE$7&gt;=$E23,BE$7&lt;=$E23+$F23-1),2,IF(AND($C23="Jalon",BE$7&gt;=$E23,BE$7&lt;=$E23+$F23-1),1,""))</f>
      </c>
      <c r="BF23" s="61">
        <f>IF(AND($C23="Objectif",BF$7&gt;=$E23,BF$7&lt;=$E23+$F23-1),2,IF(AND($C23="Jalon",BF$7&gt;=$E23,BF$7&lt;=$E23+$F23-1),1,""))</f>
      </c>
      <c r="BG23" s="61">
        <f>IF(AND($C23="Objectif",BG$7&gt;=$E23,BG$7&lt;=$E23+$F23-1),2,IF(AND($C23="Jalon",BG$7&gt;=$E23,BG$7&lt;=$E23+$F23-1),1,""))</f>
      </c>
      <c r="BH23" s="61">
        <f>IF(AND($C23="Objectif",BH$7&gt;=$E23,BH$7&lt;=$E23+$F23-1),2,IF(AND($C23="Jalon",BH$7&gt;=$E23,BH$7&lt;=$E23+$F23-1),1,""))</f>
      </c>
      <c r="BI23" s="61">
        <f>IF(AND($C23="Objectif",BI$7&gt;=$E23,BI$7&lt;=$E23+$F23-1),2,IF(AND($C23="Jalon",BI$7&gt;=$E23,BI$7&lt;=$E23+$F23-1),1,""))</f>
      </c>
      <c r="BJ23" s="61">
        <f>IF(AND($C23="Objectif",BJ$7&gt;=$E23,BJ$7&lt;=$E23+$F23-1),2,IF(AND($C23="Jalon",BJ$7&gt;=$E23,BJ$7&lt;=$E23+$F23-1),1,""))</f>
      </c>
      <c r="BK23" s="61">
        <f>IF(AND($C23="Objectif",BK$7&gt;=$E23,BK$7&lt;=$E23+$F23-1),2,IF(AND($C23="Jalon",BK$7&gt;=$E23,BK$7&lt;=$E23+$F23-1),1,""))</f>
      </c>
      <c r="BL23" s="1"/>
      <c r="BM23" s="1"/>
      <c r="BN23" s="1"/>
      <c r="BO23" s="1"/>
    </row>
    <row x14ac:dyDescent="0.25" r="24" customHeight="1" ht="40.2">
      <c r="A24" s="64"/>
      <c r="B24" s="63" t="s">
        <v>31</v>
      </c>
      <c r="C24" s="58" t="s">
        <v>3</v>
      </c>
      <c r="D24" s="59">
        <v>1</v>
      </c>
      <c r="E24" s="26">
        <f>E23</f>
        <v>25569.125</v>
      </c>
      <c r="F24" s="58">
        <v>3</v>
      </c>
      <c r="G24" s="60"/>
      <c r="H24" s="61">
        <f>IF(AND($C24="Objectif",H$7&gt;=$E24,H$7&lt;=$E24+$F24-1),2,IF(AND($C24="Jalon",H$7&gt;=$E24,H$7&lt;=$E24+$F24-1),1,""))</f>
      </c>
      <c r="I24" s="61">
        <f>IF(AND($C24="Objectif",I$7&gt;=$E24,I$7&lt;=$E24+$F24-1),2,IF(AND($C24="Jalon",I$7&gt;=$E24,I$7&lt;=$E24+$F24-1),1,""))</f>
      </c>
      <c r="J24" s="61">
        <f>IF(AND($C24="Objectif",J$7&gt;=$E24,J$7&lt;=$E24+$F24-1),2,IF(AND($C24="Jalon",J$7&gt;=$E24,J$7&lt;=$E24+$F24-1),1,""))</f>
      </c>
      <c r="K24" s="61">
        <f>IF(AND($C24="Objectif",K$7&gt;=$E24,K$7&lt;=$E24+$F24-1),2,IF(AND($C24="Jalon",K$7&gt;=$E24,K$7&lt;=$E24+$F24-1),1,""))</f>
      </c>
      <c r="L24" s="61">
        <f>IF(AND($C24="Objectif",L$7&gt;=$E24,L$7&lt;=$E24+$F24-1),2,IF(AND($C24="Jalon",L$7&gt;=$E24,L$7&lt;=$E24+$F24-1),1,""))</f>
      </c>
      <c r="M24" s="61">
        <f>IF(AND($C24="Objectif",M$7&gt;=$E24,M$7&lt;=$E24+$F24-1),2,IF(AND($C24="Jalon",M$7&gt;=$E24,M$7&lt;=$E24+$F24-1),1,""))</f>
      </c>
      <c r="N24" s="61">
        <f>IF(AND($C24="Objectif",N$7&gt;=$E24,N$7&lt;=$E24+$F24-1),2,IF(AND($C24="Jalon",N$7&gt;=$E24,N$7&lt;=$E24+$F24-1),1,""))</f>
      </c>
      <c r="O24" s="61">
        <f>IF(AND($C24="Objectif",O$7&gt;=$E24,O$7&lt;=$E24+$F24-1),2,IF(AND($C24="Jalon",O$7&gt;=$E24,O$7&lt;=$E24+$F24-1),1,""))</f>
      </c>
      <c r="P24" s="61">
        <f>IF(AND($C24="Objectif",P$7&gt;=$E24,P$7&lt;=$E24+$F24-1),2,IF(AND($C24="Jalon",P$7&gt;=$E24,P$7&lt;=$E24+$F24-1),1,""))</f>
      </c>
      <c r="Q24" s="61">
        <f>IF(AND($C24="Objectif",Q$7&gt;=$E24,Q$7&lt;=$E24+$F24-1),2,IF(AND($C24="Jalon",Q$7&gt;=$E24,Q$7&lt;=$E24+$F24-1),1,""))</f>
      </c>
      <c r="R24" s="61">
        <f>IF(AND($C24="Objectif",R$7&gt;=$E24,R$7&lt;=$E24+$F24-1),2,IF(AND($C24="Jalon",R$7&gt;=$E24,R$7&lt;=$E24+$F24-1),1,""))</f>
      </c>
      <c r="S24" s="61">
        <f>IF(AND($C24="Objectif",S$7&gt;=$E24,S$7&lt;=$E24+$F24-1),2,IF(AND($C24="Jalon",S$7&gt;=$E24,S$7&lt;=$E24+$F24-1),1,""))</f>
      </c>
      <c r="T24" s="61">
        <f>IF(AND($C24="Objectif",T$7&gt;=$E24,T$7&lt;=$E24+$F24-1),2,IF(AND($C24="Jalon",T$7&gt;=$E24,T$7&lt;=$E24+$F24-1),1,""))</f>
      </c>
      <c r="U24" s="61">
        <f>IF(AND($C24="Objectif",U$7&gt;=$E24,U$7&lt;=$E24+$F24-1),2,IF(AND($C24="Jalon",U$7&gt;=$E24,U$7&lt;=$E24+$F24-1),1,""))</f>
      </c>
      <c r="V24" s="61">
        <f>IF(AND($C24="Objectif",V$7&gt;=$E24,V$7&lt;=$E24+$F24-1),2,IF(AND($C24="Jalon",V$7&gt;=$E24,V$7&lt;=$E24+$F24-1),1,""))</f>
      </c>
      <c r="W24" s="61">
        <f>IF(AND($C24="Objectif",W$7&gt;=$E24,W$7&lt;=$E24+$F24-1),2,IF(AND($C24="Jalon",W$7&gt;=$E24,W$7&lt;=$E24+$F24-1),1,""))</f>
      </c>
      <c r="X24" s="61">
        <f>IF(AND($C24="Objectif",X$7&gt;=$E24,X$7&lt;=$E24+$F24-1),2,IF(AND($C24="Jalon",X$7&gt;=$E24,X$7&lt;=$E24+$F24-1),1,""))</f>
      </c>
      <c r="Y24" s="61">
        <f>IF(AND($C24="Objectif",Y$7&gt;=$E24,Y$7&lt;=$E24+$F24-1),2,IF(AND($C24="Jalon",Y$7&gt;=$E24,Y$7&lt;=$E24+$F24-1),1,""))</f>
      </c>
      <c r="Z24" s="61">
        <f>IF(AND($C24="Objectif",Z$7&gt;=$E24,Z$7&lt;=$E24+$F24-1),2,IF(AND($C24="Jalon",Z$7&gt;=$E24,Z$7&lt;=$E24+$F24-1),1,""))</f>
      </c>
      <c r="AA24" s="61">
        <f>IF(AND($C24="Objectif",AA$7&gt;=$E24,AA$7&lt;=$E24+$F24-1),2,IF(AND($C24="Jalon",AA$7&gt;=$E24,AA$7&lt;=$E24+$F24-1),1,""))</f>
      </c>
      <c r="AB24" s="61">
        <f>IF(AND($C24="Objectif",AB$7&gt;=$E24,AB$7&lt;=$E24+$F24-1),2,IF(AND($C24="Jalon",AB$7&gt;=$E24,AB$7&lt;=$E24+$F24-1),1,""))</f>
      </c>
      <c r="AC24" s="61">
        <f>IF(AND($C24="Objectif",AC$7&gt;=$E24,AC$7&lt;=$E24+$F24-1),2,IF(AND($C24="Jalon",AC$7&gt;=$E24,AC$7&lt;=$E24+$F24-1),1,""))</f>
      </c>
      <c r="AD24" s="61">
        <f>IF(AND($C24="Objectif",AD$7&gt;=$E24,AD$7&lt;=$E24+$F24-1),2,IF(AND($C24="Jalon",AD$7&gt;=$E24,AD$7&lt;=$E24+$F24-1),1,""))</f>
      </c>
      <c r="AE24" s="61">
        <f>IF(AND($C24="Objectif",AE$7&gt;=$E24,AE$7&lt;=$E24+$F24-1),2,IF(AND($C24="Jalon",AE$7&gt;=$E24,AE$7&lt;=$E24+$F24-1),1,""))</f>
      </c>
      <c r="AF24" s="61">
        <f>IF(AND($C24="Objectif",AF$7&gt;=$E24,AF$7&lt;=$E24+$F24-1),2,IF(AND($C24="Jalon",AF$7&gt;=$E24,AF$7&lt;=$E24+$F24-1),1,""))</f>
      </c>
      <c r="AG24" s="61">
        <f>IF(AND($C24="Objectif",AG$7&gt;=$E24,AG$7&lt;=$E24+$F24-1),2,IF(AND($C24="Jalon",AG$7&gt;=$E24,AG$7&lt;=$E24+$F24-1),1,""))</f>
      </c>
      <c r="AH24" s="61">
        <f>IF(AND($C24="Objectif",AH$7&gt;=$E24,AH$7&lt;=$E24+$F24-1),2,IF(AND($C24="Jalon",AH$7&gt;=$E24,AH$7&lt;=$E24+$F24-1),1,""))</f>
      </c>
      <c r="AI24" s="61">
        <f>IF(AND($C24="Objectif",AI$7&gt;=$E24,AI$7&lt;=$E24+$F24-1),2,IF(AND($C24="Jalon",AI$7&gt;=$E24,AI$7&lt;=$E24+$F24-1),1,""))</f>
      </c>
      <c r="AJ24" s="61">
        <f>IF(AND($C24="Objectif",AJ$7&gt;=$E24,AJ$7&lt;=$E24+$F24-1),2,IF(AND($C24="Jalon",AJ$7&gt;=$E24,AJ$7&lt;=$E24+$F24-1),1,""))</f>
      </c>
      <c r="AK24" s="61">
        <f>IF(AND($C24="Objectif",AK$7&gt;=$E24,AK$7&lt;=$E24+$F24-1),2,IF(AND($C24="Jalon",AK$7&gt;=$E24,AK$7&lt;=$E24+$F24-1),1,""))</f>
      </c>
      <c r="AL24" s="61">
        <f>IF(AND($C24="Objectif",AL$7&gt;=$E24,AL$7&lt;=$E24+$F24-1),2,IF(AND($C24="Jalon",AL$7&gt;=$E24,AL$7&lt;=$E24+$F24-1),1,""))</f>
      </c>
      <c r="AM24" s="61">
        <f>IF(AND($C24="Objectif",AM$7&gt;=$E24,AM$7&lt;=$E24+$F24-1),2,IF(AND($C24="Jalon",AM$7&gt;=$E24,AM$7&lt;=$E24+$F24-1),1,""))</f>
      </c>
      <c r="AN24" s="61">
        <f>IF(AND($C24="Objectif",AN$7&gt;=$E24,AN$7&lt;=$E24+$F24-1),2,IF(AND($C24="Jalon",AN$7&gt;=$E24,AN$7&lt;=$E24+$F24-1),1,""))</f>
      </c>
      <c r="AO24" s="61">
        <f>IF(AND($C24="Objectif",AO$7&gt;=$E24,AO$7&lt;=$E24+$F24-1),2,IF(AND($C24="Jalon",AO$7&gt;=$E24,AO$7&lt;=$E24+$F24-1),1,""))</f>
      </c>
      <c r="AP24" s="61">
        <f>IF(AND($C24="Objectif",AP$7&gt;=$E24,AP$7&lt;=$E24+$F24-1),2,IF(AND($C24="Jalon",AP$7&gt;=$E24,AP$7&lt;=$E24+$F24-1),1,""))</f>
      </c>
      <c r="AQ24" s="61">
        <f>IF(AND($C24="Objectif",AQ$7&gt;=$E24,AQ$7&lt;=$E24+$F24-1),2,IF(AND($C24="Jalon",AQ$7&gt;=$E24,AQ$7&lt;=$E24+$F24-1),1,""))</f>
      </c>
      <c r="AR24" s="61">
        <f>IF(AND($C24="Objectif",AR$7&gt;=$E24,AR$7&lt;=$E24+$F24-1),2,IF(AND($C24="Jalon",AR$7&gt;=$E24,AR$7&lt;=$E24+$F24-1),1,""))</f>
      </c>
      <c r="AS24" s="61">
        <f>IF(AND($C24="Objectif",AS$7&gt;=$E24,AS$7&lt;=$E24+$F24-1),2,IF(AND($C24="Jalon",AS$7&gt;=$E24,AS$7&lt;=$E24+$F24-1),1,""))</f>
      </c>
      <c r="AT24" s="61">
        <f>IF(AND($C24="Objectif",AT$7&gt;=$E24,AT$7&lt;=$E24+$F24-1),2,IF(AND($C24="Jalon",AT$7&gt;=$E24,AT$7&lt;=$E24+$F24-1),1,""))</f>
      </c>
      <c r="AU24" s="61">
        <f>IF(AND($C24="Objectif",AU$7&gt;=$E24,AU$7&lt;=$E24+$F24-1),2,IF(AND($C24="Jalon",AU$7&gt;=$E24,AU$7&lt;=$E24+$F24-1),1,""))</f>
      </c>
      <c r="AV24" s="61">
        <f>IF(AND($C24="Objectif",AV$7&gt;=$E24,AV$7&lt;=$E24+$F24-1),2,IF(AND($C24="Jalon",AV$7&gt;=$E24,AV$7&lt;=$E24+$F24-1),1,""))</f>
      </c>
      <c r="AW24" s="61">
        <f>IF(AND($C24="Objectif",AW$7&gt;=$E24,AW$7&lt;=$E24+$F24-1),2,IF(AND($C24="Jalon",AW$7&gt;=$E24,AW$7&lt;=$E24+$F24-1),1,""))</f>
      </c>
      <c r="AX24" s="61">
        <f>IF(AND($C24="Objectif",AX$7&gt;=$E24,AX$7&lt;=$E24+$F24-1),2,IF(AND($C24="Jalon",AX$7&gt;=$E24,AX$7&lt;=$E24+$F24-1),1,""))</f>
      </c>
      <c r="AY24" s="61">
        <f>IF(AND($C24="Objectif",AY$7&gt;=$E24,AY$7&lt;=$E24+$F24-1),2,IF(AND($C24="Jalon",AY$7&gt;=$E24,AY$7&lt;=$E24+$F24-1),1,""))</f>
      </c>
      <c r="AZ24" s="61">
        <f>IF(AND($C24="Objectif",AZ$7&gt;=$E24,AZ$7&lt;=$E24+$F24-1),2,IF(AND($C24="Jalon",AZ$7&gt;=$E24,AZ$7&lt;=$E24+$F24-1),1,""))</f>
      </c>
      <c r="BA24" s="61">
        <f>IF(AND($C24="Objectif",BA$7&gt;=$E24,BA$7&lt;=$E24+$F24-1),2,IF(AND($C24="Jalon",BA$7&gt;=$E24,BA$7&lt;=$E24+$F24-1),1,""))</f>
      </c>
      <c r="BB24" s="61">
        <f>IF(AND($C24="Objectif",BB$7&gt;=$E24,BB$7&lt;=$E24+$F24-1),2,IF(AND($C24="Jalon",BB$7&gt;=$E24,BB$7&lt;=$E24+$F24-1),1,""))</f>
      </c>
      <c r="BC24" s="61">
        <f>IF(AND($C24="Objectif",BC$7&gt;=$E24,BC$7&lt;=$E24+$F24-1),2,IF(AND($C24="Jalon",BC$7&gt;=$E24,BC$7&lt;=$E24+$F24-1),1,""))</f>
      </c>
      <c r="BD24" s="61">
        <f>IF(AND($C24="Objectif",BD$7&gt;=$E24,BD$7&lt;=$E24+$F24-1),2,IF(AND($C24="Jalon",BD$7&gt;=$E24,BD$7&lt;=$E24+$F24-1),1,""))</f>
      </c>
      <c r="BE24" s="61">
        <f>IF(AND($C24="Objectif",BE$7&gt;=$E24,BE$7&lt;=$E24+$F24-1),2,IF(AND($C24="Jalon",BE$7&gt;=$E24,BE$7&lt;=$E24+$F24-1),1,""))</f>
      </c>
      <c r="BF24" s="61">
        <f>IF(AND($C24="Objectif",BF$7&gt;=$E24,BF$7&lt;=$E24+$F24-1),2,IF(AND($C24="Jalon",BF$7&gt;=$E24,BF$7&lt;=$E24+$F24-1),1,""))</f>
      </c>
      <c r="BG24" s="61">
        <f>IF(AND($C24="Objectif",BG$7&gt;=$E24,BG$7&lt;=$E24+$F24-1),2,IF(AND($C24="Jalon",BG$7&gt;=$E24,BG$7&lt;=$E24+$F24-1),1,""))</f>
      </c>
      <c r="BH24" s="61">
        <f>IF(AND($C24="Objectif",BH$7&gt;=$E24,BH$7&lt;=$E24+$F24-1),2,IF(AND($C24="Jalon",BH$7&gt;=$E24,BH$7&lt;=$E24+$F24-1),1,""))</f>
      </c>
      <c r="BI24" s="61">
        <f>IF(AND($C24="Objectif",BI$7&gt;=$E24,BI$7&lt;=$E24+$F24-1),2,IF(AND($C24="Jalon",BI$7&gt;=$E24,BI$7&lt;=$E24+$F24-1),1,""))</f>
      </c>
      <c r="BJ24" s="61">
        <f>IF(AND($C24="Objectif",BJ$7&gt;=$E24,BJ$7&lt;=$E24+$F24-1),2,IF(AND($C24="Jalon",BJ$7&gt;=$E24,BJ$7&lt;=$E24+$F24-1),1,""))</f>
      </c>
      <c r="BK24" s="61">
        <f>IF(AND($C24="Objectif",BK$7&gt;=$E24,BK$7&lt;=$E24+$F24-1),2,IF(AND($C24="Jalon",BK$7&gt;=$E24,BK$7&lt;=$E24+$F24-1),1,""))</f>
      </c>
      <c r="BL24" s="1"/>
      <c r="BM24" s="1"/>
      <c r="BN24" s="1"/>
      <c r="BO24" s="1"/>
    </row>
    <row x14ac:dyDescent="0.25" r="25" customHeight="1" ht="40.2">
      <c r="A25" s="64"/>
      <c r="B25" s="63" t="s">
        <v>32</v>
      </c>
      <c r="C25" s="58" t="s">
        <v>5</v>
      </c>
      <c r="D25" s="59">
        <v>1</v>
      </c>
      <c r="E25" s="26">
        <f>E24+F24</f>
        <v>25569.125</v>
      </c>
      <c r="F25" s="58">
        <v>5</v>
      </c>
      <c r="G25" s="60"/>
      <c r="H25" s="61">
        <f>IF(AND($C25="Objectif",H$7&gt;=$E25,H$7&lt;=$E25+$F25-1),2,IF(AND($C25="Jalon",H$7&gt;=$E25,H$7&lt;=$E25+$F25-1),1,""))</f>
      </c>
      <c r="I25" s="61">
        <f>IF(AND($C25="Objectif",I$7&gt;=$E25,I$7&lt;=$E25+$F25-1),2,IF(AND($C25="Jalon",I$7&gt;=$E25,I$7&lt;=$E25+$F25-1),1,""))</f>
      </c>
      <c r="J25" s="61">
        <f>IF(AND($C25="Objectif",J$7&gt;=$E25,J$7&lt;=$E25+$F25-1),2,IF(AND($C25="Jalon",J$7&gt;=$E25,J$7&lt;=$E25+$F25-1),1,""))</f>
      </c>
      <c r="K25" s="61">
        <f>IF(AND($C25="Objectif",K$7&gt;=$E25,K$7&lt;=$E25+$F25-1),2,IF(AND($C25="Jalon",K$7&gt;=$E25,K$7&lt;=$E25+$F25-1),1,""))</f>
      </c>
      <c r="L25" s="61">
        <f>IF(AND($C25="Objectif",L$7&gt;=$E25,L$7&lt;=$E25+$F25-1),2,IF(AND($C25="Jalon",L$7&gt;=$E25,L$7&lt;=$E25+$F25-1),1,""))</f>
      </c>
      <c r="M25" s="61">
        <f>IF(AND($C25="Objectif",M$7&gt;=$E25,M$7&lt;=$E25+$F25-1),2,IF(AND($C25="Jalon",M$7&gt;=$E25,M$7&lt;=$E25+$F25-1),1,""))</f>
      </c>
      <c r="N25" s="61">
        <f>IF(AND($C25="Objectif",N$7&gt;=$E25,N$7&lt;=$E25+$F25-1),2,IF(AND($C25="Jalon",N$7&gt;=$E25,N$7&lt;=$E25+$F25-1),1,""))</f>
      </c>
      <c r="O25" s="61">
        <f>IF(AND($C25="Objectif",O$7&gt;=$E25,O$7&lt;=$E25+$F25-1),2,IF(AND($C25="Jalon",O$7&gt;=$E25,O$7&lt;=$E25+$F25-1),1,""))</f>
      </c>
      <c r="P25" s="61">
        <f>IF(AND($C25="Objectif",P$7&gt;=$E25,P$7&lt;=$E25+$F25-1),2,IF(AND($C25="Jalon",P$7&gt;=$E25,P$7&lt;=$E25+$F25-1),1,""))</f>
      </c>
      <c r="Q25" s="61">
        <f>IF(AND($C25="Objectif",Q$7&gt;=$E25,Q$7&lt;=$E25+$F25-1),2,IF(AND($C25="Jalon",Q$7&gt;=$E25,Q$7&lt;=$E25+$F25-1),1,""))</f>
      </c>
      <c r="R25" s="61">
        <f>IF(AND($C25="Objectif",R$7&gt;=$E25,R$7&lt;=$E25+$F25-1),2,IF(AND($C25="Jalon",R$7&gt;=$E25,R$7&lt;=$E25+$F25-1),1,""))</f>
      </c>
      <c r="S25" s="61">
        <f>IF(AND($C25="Objectif",S$7&gt;=$E25,S$7&lt;=$E25+$F25-1),2,IF(AND($C25="Jalon",S$7&gt;=$E25,S$7&lt;=$E25+$F25-1),1,""))</f>
      </c>
      <c r="T25" s="61">
        <f>IF(AND($C25="Objectif",T$7&gt;=$E25,T$7&lt;=$E25+$F25-1),2,IF(AND($C25="Jalon",T$7&gt;=$E25,T$7&lt;=$E25+$F25-1),1,""))</f>
      </c>
      <c r="U25" s="61">
        <f>IF(AND($C25="Objectif",U$7&gt;=$E25,U$7&lt;=$E25+$F25-1),2,IF(AND($C25="Jalon",U$7&gt;=$E25,U$7&lt;=$E25+$F25-1),1,""))</f>
      </c>
      <c r="V25" s="61">
        <f>IF(AND($C25="Objectif",V$7&gt;=$E25,V$7&lt;=$E25+$F25-1),2,IF(AND($C25="Jalon",V$7&gt;=$E25,V$7&lt;=$E25+$F25-1),1,""))</f>
      </c>
      <c r="W25" s="61">
        <f>IF(AND($C25="Objectif",W$7&gt;=$E25,W$7&lt;=$E25+$F25-1),2,IF(AND($C25="Jalon",W$7&gt;=$E25,W$7&lt;=$E25+$F25-1),1,""))</f>
      </c>
      <c r="X25" s="61">
        <f>IF(AND($C25="Objectif",X$7&gt;=$E25,X$7&lt;=$E25+$F25-1),2,IF(AND($C25="Jalon",X$7&gt;=$E25,X$7&lt;=$E25+$F25-1),1,""))</f>
      </c>
      <c r="Y25" s="61">
        <f>IF(AND($C25="Objectif",Y$7&gt;=$E25,Y$7&lt;=$E25+$F25-1),2,IF(AND($C25="Jalon",Y$7&gt;=$E25,Y$7&lt;=$E25+$F25-1),1,""))</f>
      </c>
      <c r="Z25" s="61">
        <f>IF(AND($C25="Objectif",Z$7&gt;=$E25,Z$7&lt;=$E25+$F25-1),2,IF(AND($C25="Jalon",Z$7&gt;=$E25,Z$7&lt;=$E25+$F25-1),1,""))</f>
      </c>
      <c r="AA25" s="61">
        <f>IF(AND($C25="Objectif",AA$7&gt;=$E25,AA$7&lt;=$E25+$F25-1),2,IF(AND($C25="Jalon",AA$7&gt;=$E25,AA$7&lt;=$E25+$F25-1),1,""))</f>
      </c>
      <c r="AB25" s="61">
        <f>IF(AND($C25="Objectif",AB$7&gt;=$E25,AB$7&lt;=$E25+$F25-1),2,IF(AND($C25="Jalon",AB$7&gt;=$E25,AB$7&lt;=$E25+$F25-1),1,""))</f>
      </c>
      <c r="AC25" s="61">
        <f>IF(AND($C25="Objectif",AC$7&gt;=$E25,AC$7&lt;=$E25+$F25-1),2,IF(AND($C25="Jalon",AC$7&gt;=$E25,AC$7&lt;=$E25+$F25-1),1,""))</f>
      </c>
      <c r="AD25" s="61">
        <f>IF(AND($C25="Objectif",AD$7&gt;=$E25,AD$7&lt;=$E25+$F25-1),2,IF(AND($C25="Jalon",AD$7&gt;=$E25,AD$7&lt;=$E25+$F25-1),1,""))</f>
      </c>
      <c r="AE25" s="61">
        <f>IF(AND($C25="Objectif",AE$7&gt;=$E25,AE$7&lt;=$E25+$F25-1),2,IF(AND($C25="Jalon",AE$7&gt;=$E25,AE$7&lt;=$E25+$F25-1),1,""))</f>
      </c>
      <c r="AF25" s="61">
        <f>IF(AND($C25="Objectif",AF$7&gt;=$E25,AF$7&lt;=$E25+$F25-1),2,IF(AND($C25="Jalon",AF$7&gt;=$E25,AF$7&lt;=$E25+$F25-1),1,""))</f>
      </c>
      <c r="AG25" s="61">
        <f>IF(AND($C25="Objectif",AG$7&gt;=$E25,AG$7&lt;=$E25+$F25-1),2,IF(AND($C25="Jalon",AG$7&gt;=$E25,AG$7&lt;=$E25+$F25-1),1,""))</f>
      </c>
      <c r="AH25" s="61">
        <f>IF(AND($C25="Objectif",AH$7&gt;=$E25,AH$7&lt;=$E25+$F25-1),2,IF(AND($C25="Jalon",AH$7&gt;=$E25,AH$7&lt;=$E25+$F25-1),1,""))</f>
      </c>
      <c r="AI25" s="61">
        <f>IF(AND($C25="Objectif",AI$7&gt;=$E25,AI$7&lt;=$E25+$F25-1),2,IF(AND($C25="Jalon",AI$7&gt;=$E25,AI$7&lt;=$E25+$F25-1),1,""))</f>
      </c>
      <c r="AJ25" s="61">
        <f>IF(AND($C25="Objectif",AJ$7&gt;=$E25,AJ$7&lt;=$E25+$F25-1),2,IF(AND($C25="Jalon",AJ$7&gt;=$E25,AJ$7&lt;=$E25+$F25-1),1,""))</f>
      </c>
      <c r="AK25" s="61">
        <f>IF(AND($C25="Objectif",AK$7&gt;=$E25,AK$7&lt;=$E25+$F25-1),2,IF(AND($C25="Jalon",AK$7&gt;=$E25,AK$7&lt;=$E25+$F25-1),1,""))</f>
      </c>
      <c r="AL25" s="61">
        <f>IF(AND($C25="Objectif",AL$7&gt;=$E25,AL$7&lt;=$E25+$F25-1),2,IF(AND($C25="Jalon",AL$7&gt;=$E25,AL$7&lt;=$E25+$F25-1),1,""))</f>
      </c>
      <c r="AM25" s="61">
        <f>IF(AND($C25="Objectif",AM$7&gt;=$E25,AM$7&lt;=$E25+$F25-1),2,IF(AND($C25="Jalon",AM$7&gt;=$E25,AM$7&lt;=$E25+$F25-1),1,""))</f>
      </c>
      <c r="AN25" s="61">
        <f>IF(AND($C25="Objectif",AN$7&gt;=$E25,AN$7&lt;=$E25+$F25-1),2,IF(AND($C25="Jalon",AN$7&gt;=$E25,AN$7&lt;=$E25+$F25-1),1,""))</f>
      </c>
      <c r="AO25" s="61">
        <f>IF(AND($C25="Objectif",AO$7&gt;=$E25,AO$7&lt;=$E25+$F25-1),2,IF(AND($C25="Jalon",AO$7&gt;=$E25,AO$7&lt;=$E25+$F25-1),1,""))</f>
      </c>
      <c r="AP25" s="61">
        <f>IF(AND($C25="Objectif",AP$7&gt;=$E25,AP$7&lt;=$E25+$F25-1),2,IF(AND($C25="Jalon",AP$7&gt;=$E25,AP$7&lt;=$E25+$F25-1),1,""))</f>
      </c>
      <c r="AQ25" s="61">
        <f>IF(AND($C25="Objectif",AQ$7&gt;=$E25,AQ$7&lt;=$E25+$F25-1),2,IF(AND($C25="Jalon",AQ$7&gt;=$E25,AQ$7&lt;=$E25+$F25-1),1,""))</f>
      </c>
      <c r="AR25" s="61">
        <f>IF(AND($C25="Objectif",AR$7&gt;=$E25,AR$7&lt;=$E25+$F25-1),2,IF(AND($C25="Jalon",AR$7&gt;=$E25,AR$7&lt;=$E25+$F25-1),1,""))</f>
      </c>
      <c r="AS25" s="61">
        <f>IF(AND($C25="Objectif",AS$7&gt;=$E25,AS$7&lt;=$E25+$F25-1),2,IF(AND($C25="Jalon",AS$7&gt;=$E25,AS$7&lt;=$E25+$F25-1),1,""))</f>
      </c>
      <c r="AT25" s="61">
        <f>IF(AND($C25="Objectif",AT$7&gt;=$E25,AT$7&lt;=$E25+$F25-1),2,IF(AND($C25="Jalon",AT$7&gt;=$E25,AT$7&lt;=$E25+$F25-1),1,""))</f>
      </c>
      <c r="AU25" s="61">
        <f>IF(AND($C25="Objectif",AU$7&gt;=$E25,AU$7&lt;=$E25+$F25-1),2,IF(AND($C25="Jalon",AU$7&gt;=$E25,AU$7&lt;=$E25+$F25-1),1,""))</f>
      </c>
      <c r="AV25" s="61">
        <f>IF(AND($C25="Objectif",AV$7&gt;=$E25,AV$7&lt;=$E25+$F25-1),2,IF(AND($C25="Jalon",AV$7&gt;=$E25,AV$7&lt;=$E25+$F25-1),1,""))</f>
      </c>
      <c r="AW25" s="61">
        <f>IF(AND($C25="Objectif",AW$7&gt;=$E25,AW$7&lt;=$E25+$F25-1),2,IF(AND($C25="Jalon",AW$7&gt;=$E25,AW$7&lt;=$E25+$F25-1),1,""))</f>
      </c>
      <c r="AX25" s="61">
        <f>IF(AND($C25="Objectif",AX$7&gt;=$E25,AX$7&lt;=$E25+$F25-1),2,IF(AND($C25="Jalon",AX$7&gt;=$E25,AX$7&lt;=$E25+$F25-1),1,""))</f>
      </c>
      <c r="AY25" s="61">
        <f>IF(AND($C25="Objectif",AY$7&gt;=$E25,AY$7&lt;=$E25+$F25-1),2,IF(AND($C25="Jalon",AY$7&gt;=$E25,AY$7&lt;=$E25+$F25-1),1,""))</f>
      </c>
      <c r="AZ25" s="61">
        <f>IF(AND($C25="Objectif",AZ$7&gt;=$E25,AZ$7&lt;=$E25+$F25-1),2,IF(AND($C25="Jalon",AZ$7&gt;=$E25,AZ$7&lt;=$E25+$F25-1),1,""))</f>
      </c>
      <c r="BA25" s="61">
        <f>IF(AND($C25="Objectif",BA$7&gt;=$E25,BA$7&lt;=$E25+$F25-1),2,IF(AND($C25="Jalon",BA$7&gt;=$E25,BA$7&lt;=$E25+$F25-1),1,""))</f>
      </c>
      <c r="BB25" s="61">
        <f>IF(AND($C25="Objectif",BB$7&gt;=$E25,BB$7&lt;=$E25+$F25-1),2,IF(AND($C25="Jalon",BB$7&gt;=$E25,BB$7&lt;=$E25+$F25-1),1,""))</f>
      </c>
      <c r="BC25" s="61">
        <f>IF(AND($C25="Objectif",BC$7&gt;=$E25,BC$7&lt;=$E25+$F25-1),2,IF(AND($C25="Jalon",BC$7&gt;=$E25,BC$7&lt;=$E25+$F25-1),1,""))</f>
      </c>
      <c r="BD25" s="61">
        <f>IF(AND($C25="Objectif",BD$7&gt;=$E25,BD$7&lt;=$E25+$F25-1),2,IF(AND($C25="Jalon",BD$7&gt;=$E25,BD$7&lt;=$E25+$F25-1),1,""))</f>
      </c>
      <c r="BE25" s="61">
        <f>IF(AND($C25="Objectif",BE$7&gt;=$E25,BE$7&lt;=$E25+$F25-1),2,IF(AND($C25="Jalon",BE$7&gt;=$E25,BE$7&lt;=$E25+$F25-1),1,""))</f>
      </c>
      <c r="BF25" s="61">
        <f>IF(AND($C25="Objectif",BF$7&gt;=$E25,BF$7&lt;=$E25+$F25-1),2,IF(AND($C25="Jalon",BF$7&gt;=$E25,BF$7&lt;=$E25+$F25-1),1,""))</f>
      </c>
      <c r="BG25" s="61">
        <f>IF(AND($C25="Objectif",BG$7&gt;=$E25,BG$7&lt;=$E25+$F25-1),2,IF(AND($C25="Jalon",BG$7&gt;=$E25,BG$7&lt;=$E25+$F25-1),1,""))</f>
      </c>
      <c r="BH25" s="61">
        <f>IF(AND($C25="Objectif",BH$7&gt;=$E25,BH$7&lt;=$E25+$F25-1),2,IF(AND($C25="Jalon",BH$7&gt;=$E25,BH$7&lt;=$E25+$F25-1),1,""))</f>
      </c>
      <c r="BI25" s="61">
        <f>IF(AND($C25="Objectif",BI$7&gt;=$E25,BI$7&lt;=$E25+$F25-1),2,IF(AND($C25="Jalon",BI$7&gt;=$E25,BI$7&lt;=$E25+$F25-1),1,""))</f>
      </c>
      <c r="BJ25" s="61">
        <f>IF(AND($C25="Objectif",BJ$7&gt;=$E25,BJ$7&lt;=$E25+$F25-1),2,IF(AND($C25="Jalon",BJ$7&gt;=$E25,BJ$7&lt;=$E25+$F25-1),1,""))</f>
      </c>
      <c r="BK25" s="61">
        <f>IF(AND($C25="Objectif",BK$7&gt;=$E25,BK$7&lt;=$E25+$F25-1),2,IF(AND($C25="Jalon",BK$7&gt;=$E25,BK$7&lt;=$E25+$F25-1),1,""))</f>
      </c>
      <c r="BL25" s="1"/>
      <c r="BM25" s="1"/>
      <c r="BN25" s="1"/>
      <c r="BO25" s="1"/>
    </row>
    <row x14ac:dyDescent="0.25" r="26" customHeight="1" ht="40.2">
      <c r="A26" s="64"/>
      <c r="B26" s="63" t="s">
        <v>33</v>
      </c>
      <c r="C26" s="58" t="s">
        <v>6</v>
      </c>
      <c r="D26" s="59">
        <v>0.75</v>
      </c>
      <c r="E26" s="26">
        <f>E25+F25</f>
        <v>25569.125</v>
      </c>
      <c r="F26" s="58">
        <v>30</v>
      </c>
      <c r="G26" s="60"/>
      <c r="H26" s="61">
        <f>IF(AND($C26="Objectif",H$7&gt;=$E26,H$7&lt;=$E26+$F26-1),2,IF(AND($C26="Jalon",H$7&gt;=$E26,H$7&lt;=$E26+$F26-1),1,""))</f>
      </c>
      <c r="I26" s="61">
        <f>IF(AND($C26="Objectif",I$7&gt;=$E26,I$7&lt;=$E26+$F26-1),2,IF(AND($C26="Jalon",I$7&gt;=$E26,I$7&lt;=$E26+$F26-1),1,""))</f>
      </c>
      <c r="J26" s="61">
        <f>IF(AND($C26="Objectif",J$7&gt;=$E26,J$7&lt;=$E26+$F26-1),2,IF(AND($C26="Jalon",J$7&gt;=$E26,J$7&lt;=$E26+$F26-1),1,""))</f>
      </c>
      <c r="K26" s="61">
        <f>IF(AND($C26="Objectif",K$7&gt;=$E26,K$7&lt;=$E26+$F26-1),2,IF(AND($C26="Jalon",K$7&gt;=$E26,K$7&lt;=$E26+$F26-1),1,""))</f>
      </c>
      <c r="L26" s="61">
        <f>IF(AND($C26="Objectif",L$7&gt;=$E26,L$7&lt;=$E26+$F26-1),2,IF(AND($C26="Jalon",L$7&gt;=$E26,L$7&lt;=$E26+$F26-1),1,""))</f>
      </c>
      <c r="M26" s="61">
        <f>IF(AND($C26="Objectif",M$7&gt;=$E26,M$7&lt;=$E26+$F26-1),2,IF(AND($C26="Jalon",M$7&gt;=$E26,M$7&lt;=$E26+$F26-1),1,""))</f>
      </c>
      <c r="N26" s="61">
        <f>IF(AND($C26="Objectif",N$7&gt;=$E26,N$7&lt;=$E26+$F26-1),2,IF(AND($C26="Jalon",N$7&gt;=$E26,N$7&lt;=$E26+$F26-1),1,""))</f>
      </c>
      <c r="O26" s="61">
        <f>IF(AND($C26="Objectif",O$7&gt;=$E26,O$7&lt;=$E26+$F26-1),2,IF(AND($C26="Jalon",O$7&gt;=$E26,O$7&lt;=$E26+$F26-1),1,""))</f>
      </c>
      <c r="P26" s="61">
        <f>IF(AND($C26="Objectif",P$7&gt;=$E26,P$7&lt;=$E26+$F26-1),2,IF(AND($C26="Jalon",P$7&gt;=$E26,P$7&lt;=$E26+$F26-1),1,""))</f>
      </c>
      <c r="Q26" s="61">
        <f>IF(AND($C26="Objectif",Q$7&gt;=$E26,Q$7&lt;=$E26+$F26-1),2,IF(AND($C26="Jalon",Q$7&gt;=$E26,Q$7&lt;=$E26+$F26-1),1,""))</f>
      </c>
      <c r="R26" s="61">
        <f>IF(AND($C26="Objectif",R$7&gt;=$E26,R$7&lt;=$E26+$F26-1),2,IF(AND($C26="Jalon",R$7&gt;=$E26,R$7&lt;=$E26+$F26-1),1,""))</f>
      </c>
      <c r="S26" s="61">
        <f>IF(AND($C26="Objectif",S$7&gt;=$E26,S$7&lt;=$E26+$F26-1),2,IF(AND($C26="Jalon",S$7&gt;=$E26,S$7&lt;=$E26+$F26-1),1,""))</f>
      </c>
      <c r="T26" s="61">
        <f>IF(AND($C26="Objectif",T$7&gt;=$E26,T$7&lt;=$E26+$F26-1),2,IF(AND($C26="Jalon",T$7&gt;=$E26,T$7&lt;=$E26+$F26-1),1,""))</f>
      </c>
      <c r="U26" s="61">
        <f>IF(AND($C26="Objectif",U$7&gt;=$E26,U$7&lt;=$E26+$F26-1),2,IF(AND($C26="Jalon",U$7&gt;=$E26,U$7&lt;=$E26+$F26-1),1,""))</f>
      </c>
      <c r="V26" s="61">
        <f>IF(AND($C26="Objectif",V$7&gt;=$E26,V$7&lt;=$E26+$F26-1),2,IF(AND($C26="Jalon",V$7&gt;=$E26,V$7&lt;=$E26+$F26-1),1,""))</f>
      </c>
      <c r="W26" s="61">
        <f>IF(AND($C26="Objectif",W$7&gt;=$E26,W$7&lt;=$E26+$F26-1),2,IF(AND($C26="Jalon",W$7&gt;=$E26,W$7&lt;=$E26+$F26-1),1,""))</f>
      </c>
      <c r="X26" s="61">
        <f>IF(AND($C26="Objectif",X$7&gt;=$E26,X$7&lt;=$E26+$F26-1),2,IF(AND($C26="Jalon",X$7&gt;=$E26,X$7&lt;=$E26+$F26-1),1,""))</f>
      </c>
      <c r="Y26" s="61">
        <f>IF(AND($C26="Objectif",Y$7&gt;=$E26,Y$7&lt;=$E26+$F26-1),2,IF(AND($C26="Jalon",Y$7&gt;=$E26,Y$7&lt;=$E26+$F26-1),1,""))</f>
      </c>
      <c r="Z26" s="61">
        <f>IF(AND($C26="Objectif",Z$7&gt;=$E26,Z$7&lt;=$E26+$F26-1),2,IF(AND($C26="Jalon",Z$7&gt;=$E26,Z$7&lt;=$E26+$F26-1),1,""))</f>
      </c>
      <c r="AA26" s="61">
        <f>IF(AND($C26="Objectif",AA$7&gt;=$E26,AA$7&lt;=$E26+$F26-1),2,IF(AND($C26="Jalon",AA$7&gt;=$E26,AA$7&lt;=$E26+$F26-1),1,""))</f>
      </c>
      <c r="AB26" s="61">
        <f>IF(AND($C26="Objectif",AB$7&gt;=$E26,AB$7&lt;=$E26+$F26-1),2,IF(AND($C26="Jalon",AB$7&gt;=$E26,AB$7&lt;=$E26+$F26-1),1,""))</f>
      </c>
      <c r="AC26" s="61">
        <f>IF(AND($C26="Objectif",AC$7&gt;=$E26,AC$7&lt;=$E26+$F26-1),2,IF(AND($C26="Jalon",AC$7&gt;=$E26,AC$7&lt;=$E26+$F26-1),1,""))</f>
      </c>
      <c r="AD26" s="61">
        <f>IF(AND($C26="Objectif",AD$7&gt;=$E26,AD$7&lt;=$E26+$F26-1),2,IF(AND($C26="Jalon",AD$7&gt;=$E26,AD$7&lt;=$E26+$F26-1),1,""))</f>
      </c>
      <c r="AE26" s="61">
        <f>IF(AND($C26="Objectif",AE$7&gt;=$E26,AE$7&lt;=$E26+$F26-1),2,IF(AND($C26="Jalon",AE$7&gt;=$E26,AE$7&lt;=$E26+$F26-1),1,""))</f>
      </c>
      <c r="AF26" s="61">
        <f>IF(AND($C26="Objectif",AF$7&gt;=$E26,AF$7&lt;=$E26+$F26-1),2,IF(AND($C26="Jalon",AF$7&gt;=$E26,AF$7&lt;=$E26+$F26-1),1,""))</f>
      </c>
      <c r="AG26" s="61">
        <f>IF(AND($C26="Objectif",AG$7&gt;=$E26,AG$7&lt;=$E26+$F26-1),2,IF(AND($C26="Jalon",AG$7&gt;=$E26,AG$7&lt;=$E26+$F26-1),1,""))</f>
      </c>
      <c r="AH26" s="61">
        <f>IF(AND($C26="Objectif",AH$7&gt;=$E26,AH$7&lt;=$E26+$F26-1),2,IF(AND($C26="Jalon",AH$7&gt;=$E26,AH$7&lt;=$E26+$F26-1),1,""))</f>
      </c>
      <c r="AI26" s="61">
        <f>IF(AND($C26="Objectif",AI$7&gt;=$E26,AI$7&lt;=$E26+$F26-1),2,IF(AND($C26="Jalon",AI$7&gt;=$E26,AI$7&lt;=$E26+$F26-1),1,""))</f>
      </c>
      <c r="AJ26" s="61">
        <f>IF(AND($C26="Objectif",AJ$7&gt;=$E26,AJ$7&lt;=$E26+$F26-1),2,IF(AND($C26="Jalon",AJ$7&gt;=$E26,AJ$7&lt;=$E26+$F26-1),1,""))</f>
      </c>
      <c r="AK26" s="61">
        <f>IF(AND($C26="Objectif",AK$7&gt;=$E26,AK$7&lt;=$E26+$F26-1),2,IF(AND($C26="Jalon",AK$7&gt;=$E26,AK$7&lt;=$E26+$F26-1),1,""))</f>
      </c>
      <c r="AL26" s="61">
        <f>IF(AND($C26="Objectif",AL$7&gt;=$E26,AL$7&lt;=$E26+$F26-1),2,IF(AND($C26="Jalon",AL$7&gt;=$E26,AL$7&lt;=$E26+$F26-1),1,""))</f>
      </c>
      <c r="AM26" s="61">
        <f>IF(AND($C26="Objectif",AM$7&gt;=$E26,AM$7&lt;=$E26+$F26-1),2,IF(AND($C26="Jalon",AM$7&gt;=$E26,AM$7&lt;=$E26+$F26-1),1,""))</f>
      </c>
      <c r="AN26" s="61">
        <f>IF(AND($C26="Objectif",AN$7&gt;=$E26,AN$7&lt;=$E26+$F26-1),2,IF(AND($C26="Jalon",AN$7&gt;=$E26,AN$7&lt;=$E26+$F26-1),1,""))</f>
      </c>
      <c r="AO26" s="61">
        <f>IF(AND($C26="Objectif",AO$7&gt;=$E26,AO$7&lt;=$E26+$F26-1),2,IF(AND($C26="Jalon",AO$7&gt;=$E26,AO$7&lt;=$E26+$F26-1),1,""))</f>
      </c>
      <c r="AP26" s="61">
        <f>IF(AND($C26="Objectif",AP$7&gt;=$E26,AP$7&lt;=$E26+$F26-1),2,IF(AND($C26="Jalon",AP$7&gt;=$E26,AP$7&lt;=$E26+$F26-1),1,""))</f>
      </c>
      <c r="AQ26" s="61">
        <f>IF(AND($C26="Objectif",AQ$7&gt;=$E26,AQ$7&lt;=$E26+$F26-1),2,IF(AND($C26="Jalon",AQ$7&gt;=$E26,AQ$7&lt;=$E26+$F26-1),1,""))</f>
      </c>
      <c r="AR26" s="61">
        <f>IF(AND($C26="Objectif",AR$7&gt;=$E26,AR$7&lt;=$E26+$F26-1),2,IF(AND($C26="Jalon",AR$7&gt;=$E26,AR$7&lt;=$E26+$F26-1),1,""))</f>
      </c>
      <c r="AS26" s="61">
        <f>IF(AND($C26="Objectif",AS$7&gt;=$E26,AS$7&lt;=$E26+$F26-1),2,IF(AND($C26="Jalon",AS$7&gt;=$E26,AS$7&lt;=$E26+$F26-1),1,""))</f>
      </c>
      <c r="AT26" s="61">
        <f>IF(AND($C26="Objectif",AT$7&gt;=$E26,AT$7&lt;=$E26+$F26-1),2,IF(AND($C26="Jalon",AT$7&gt;=$E26,AT$7&lt;=$E26+$F26-1),1,""))</f>
      </c>
      <c r="AU26" s="61">
        <f>IF(AND($C26="Objectif",AU$7&gt;=$E26,AU$7&lt;=$E26+$F26-1),2,IF(AND($C26="Jalon",AU$7&gt;=$E26,AU$7&lt;=$E26+$F26-1),1,""))</f>
      </c>
      <c r="AV26" s="61">
        <f>IF(AND($C26="Objectif",AV$7&gt;=$E26,AV$7&lt;=$E26+$F26-1),2,IF(AND($C26="Jalon",AV$7&gt;=$E26,AV$7&lt;=$E26+$F26-1),1,""))</f>
      </c>
      <c r="AW26" s="61">
        <f>IF(AND($C26="Objectif",AW$7&gt;=$E26,AW$7&lt;=$E26+$F26-1),2,IF(AND($C26="Jalon",AW$7&gt;=$E26,AW$7&lt;=$E26+$F26-1),1,""))</f>
      </c>
      <c r="AX26" s="61">
        <f>IF(AND($C26="Objectif",AX$7&gt;=$E26,AX$7&lt;=$E26+$F26-1),2,IF(AND($C26="Jalon",AX$7&gt;=$E26,AX$7&lt;=$E26+$F26-1),1,""))</f>
      </c>
      <c r="AY26" s="61">
        <f>IF(AND($C26="Objectif",AY$7&gt;=$E26,AY$7&lt;=$E26+$F26-1),2,IF(AND($C26="Jalon",AY$7&gt;=$E26,AY$7&lt;=$E26+$F26-1),1,""))</f>
      </c>
      <c r="AZ26" s="61">
        <f>IF(AND($C26="Objectif",AZ$7&gt;=$E26,AZ$7&lt;=$E26+$F26-1),2,IF(AND($C26="Jalon",AZ$7&gt;=$E26,AZ$7&lt;=$E26+$F26-1),1,""))</f>
      </c>
      <c r="BA26" s="61">
        <f>IF(AND($C26="Objectif",BA$7&gt;=$E26,BA$7&lt;=$E26+$F26-1),2,IF(AND($C26="Jalon",BA$7&gt;=$E26,BA$7&lt;=$E26+$F26-1),1,""))</f>
      </c>
      <c r="BB26" s="61">
        <f>IF(AND($C26="Objectif",BB$7&gt;=$E26,BB$7&lt;=$E26+$F26-1),2,IF(AND($C26="Jalon",BB$7&gt;=$E26,BB$7&lt;=$E26+$F26-1),1,""))</f>
      </c>
      <c r="BC26" s="61">
        <f>IF(AND($C26="Objectif",BC$7&gt;=$E26,BC$7&lt;=$E26+$F26-1),2,IF(AND($C26="Jalon",BC$7&gt;=$E26,BC$7&lt;=$E26+$F26-1),1,""))</f>
      </c>
      <c r="BD26" s="61">
        <f>IF(AND($C26="Objectif",BD$7&gt;=$E26,BD$7&lt;=$E26+$F26-1),2,IF(AND($C26="Jalon",BD$7&gt;=$E26,BD$7&lt;=$E26+$F26-1),1,""))</f>
      </c>
      <c r="BE26" s="61">
        <f>IF(AND($C26="Objectif",BE$7&gt;=$E26,BE$7&lt;=$E26+$F26-1),2,IF(AND($C26="Jalon",BE$7&gt;=$E26,BE$7&lt;=$E26+$F26-1),1,""))</f>
      </c>
      <c r="BF26" s="61">
        <f>IF(AND($C26="Objectif",BF$7&gt;=$E26,BF$7&lt;=$E26+$F26-1),2,IF(AND($C26="Jalon",BF$7&gt;=$E26,BF$7&lt;=$E26+$F26-1),1,""))</f>
      </c>
      <c r="BG26" s="61">
        <f>IF(AND($C26="Objectif",BG$7&gt;=$E26,BG$7&lt;=$E26+$F26-1),2,IF(AND($C26="Jalon",BG$7&gt;=$E26,BG$7&lt;=$E26+$F26-1),1,""))</f>
      </c>
      <c r="BH26" s="61">
        <f>IF(AND($C26="Objectif",BH$7&gt;=$E26,BH$7&lt;=$E26+$F26-1),2,IF(AND($C26="Jalon",BH$7&gt;=$E26,BH$7&lt;=$E26+$F26-1),1,""))</f>
      </c>
      <c r="BI26" s="61">
        <f>IF(AND($C26="Objectif",BI$7&gt;=$E26,BI$7&lt;=$E26+$F26-1),2,IF(AND($C26="Jalon",BI$7&gt;=$E26,BI$7&lt;=$E26+$F26-1),1,""))</f>
      </c>
      <c r="BJ26" s="61">
        <f>IF(AND($C26="Objectif",BJ$7&gt;=$E26,BJ$7&lt;=$E26+$F26-1),2,IF(AND($C26="Jalon",BJ$7&gt;=$E26,BJ$7&lt;=$E26+$F26-1),1,""))</f>
      </c>
      <c r="BK26" s="61">
        <f>IF(AND($C26="Objectif",BK$7&gt;=$E26,BK$7&lt;=$E26+$F26-1),2,IF(AND($C26="Jalon",BK$7&gt;=$E26,BK$7&lt;=$E26+$F26-1),1,""))</f>
      </c>
      <c r="BL26" s="1"/>
      <c r="BM26" s="1"/>
      <c r="BN26" s="1"/>
      <c r="BO26" s="1"/>
    </row>
    <row x14ac:dyDescent="0.25" r="27" customHeight="1" ht="40.2">
      <c r="A27" s="64"/>
      <c r="B27" s="63" t="s">
        <v>34</v>
      </c>
      <c r="C27" s="58" t="s">
        <v>5</v>
      </c>
      <c r="D27" s="59">
        <v>0.75</v>
      </c>
      <c r="E27" s="26">
        <f>E26+F26</f>
        <v>25569.125</v>
      </c>
      <c r="F27" s="58">
        <v>10</v>
      </c>
      <c r="G27" s="60"/>
      <c r="H27" s="61">
        <f>IF(AND($C27="Objectif",H$7&gt;=$E27,H$7&lt;=$E27+$F27-1),2,IF(AND($C27="Jalon",H$7&gt;=$E27,H$7&lt;=$E27+$F27-1),1,""))</f>
      </c>
      <c r="I27" s="61">
        <f>IF(AND($C27="Objectif",I$7&gt;=$E27,I$7&lt;=$E27+$F27-1),2,IF(AND($C27="Jalon",I$7&gt;=$E27,I$7&lt;=$E27+$F27-1),1,""))</f>
      </c>
      <c r="J27" s="61">
        <f>IF(AND($C27="Objectif",J$7&gt;=$E27,J$7&lt;=$E27+$F27-1),2,IF(AND($C27="Jalon",J$7&gt;=$E27,J$7&lt;=$E27+$F27-1),1,""))</f>
      </c>
      <c r="K27" s="61">
        <f>IF(AND($C27="Objectif",K$7&gt;=$E27,K$7&lt;=$E27+$F27-1),2,IF(AND($C27="Jalon",K$7&gt;=$E27,K$7&lt;=$E27+$F27-1),1,""))</f>
      </c>
      <c r="L27" s="61">
        <f>IF(AND($C27="Objectif",L$7&gt;=$E27,L$7&lt;=$E27+$F27-1),2,IF(AND($C27="Jalon",L$7&gt;=$E27,L$7&lt;=$E27+$F27-1),1,""))</f>
      </c>
      <c r="M27" s="61">
        <f>IF(AND($C27="Objectif",M$7&gt;=$E27,M$7&lt;=$E27+$F27-1),2,IF(AND($C27="Jalon",M$7&gt;=$E27,M$7&lt;=$E27+$F27-1),1,""))</f>
      </c>
      <c r="N27" s="61">
        <f>IF(AND($C27="Objectif",N$7&gt;=$E27,N$7&lt;=$E27+$F27-1),2,IF(AND($C27="Jalon",N$7&gt;=$E27,N$7&lt;=$E27+$F27-1),1,""))</f>
      </c>
      <c r="O27" s="61">
        <f>IF(AND($C27="Objectif",O$7&gt;=$E27,O$7&lt;=$E27+$F27-1),2,IF(AND($C27="Jalon",O$7&gt;=$E27,O$7&lt;=$E27+$F27-1),1,""))</f>
      </c>
      <c r="P27" s="61">
        <f>IF(AND($C27="Objectif",P$7&gt;=$E27,P$7&lt;=$E27+$F27-1),2,IF(AND($C27="Jalon",P$7&gt;=$E27,P$7&lt;=$E27+$F27-1),1,""))</f>
      </c>
      <c r="Q27" s="61">
        <f>IF(AND($C27="Objectif",Q$7&gt;=$E27,Q$7&lt;=$E27+$F27-1),2,IF(AND($C27="Jalon",Q$7&gt;=$E27,Q$7&lt;=$E27+$F27-1),1,""))</f>
      </c>
      <c r="R27" s="61">
        <f>IF(AND($C27="Objectif",R$7&gt;=$E27,R$7&lt;=$E27+$F27-1),2,IF(AND($C27="Jalon",R$7&gt;=$E27,R$7&lt;=$E27+$F27-1),1,""))</f>
      </c>
      <c r="S27" s="61">
        <f>IF(AND($C27="Objectif",S$7&gt;=$E27,S$7&lt;=$E27+$F27-1),2,IF(AND($C27="Jalon",S$7&gt;=$E27,S$7&lt;=$E27+$F27-1),1,""))</f>
      </c>
      <c r="T27" s="61">
        <f>IF(AND($C27="Objectif",T$7&gt;=$E27,T$7&lt;=$E27+$F27-1),2,IF(AND($C27="Jalon",T$7&gt;=$E27,T$7&lt;=$E27+$F27-1),1,""))</f>
      </c>
      <c r="U27" s="61">
        <f>IF(AND($C27="Objectif",U$7&gt;=$E27,U$7&lt;=$E27+$F27-1),2,IF(AND($C27="Jalon",U$7&gt;=$E27,U$7&lt;=$E27+$F27-1),1,""))</f>
      </c>
      <c r="V27" s="61">
        <f>IF(AND($C27="Objectif",V$7&gt;=$E27,V$7&lt;=$E27+$F27-1),2,IF(AND($C27="Jalon",V$7&gt;=$E27,V$7&lt;=$E27+$F27-1),1,""))</f>
      </c>
      <c r="W27" s="61">
        <f>IF(AND($C27="Objectif",W$7&gt;=$E27,W$7&lt;=$E27+$F27-1),2,IF(AND($C27="Jalon",W$7&gt;=$E27,W$7&lt;=$E27+$F27-1),1,""))</f>
      </c>
      <c r="X27" s="61">
        <f>IF(AND($C27="Objectif",X$7&gt;=$E27,X$7&lt;=$E27+$F27-1),2,IF(AND($C27="Jalon",X$7&gt;=$E27,X$7&lt;=$E27+$F27-1),1,""))</f>
      </c>
      <c r="Y27" s="61">
        <f>IF(AND($C27="Objectif",Y$7&gt;=$E27,Y$7&lt;=$E27+$F27-1),2,IF(AND($C27="Jalon",Y$7&gt;=$E27,Y$7&lt;=$E27+$F27-1),1,""))</f>
      </c>
      <c r="Z27" s="61">
        <f>IF(AND($C27="Objectif",Z$7&gt;=$E27,Z$7&lt;=$E27+$F27-1),2,IF(AND($C27="Jalon",Z$7&gt;=$E27,Z$7&lt;=$E27+$F27-1),1,""))</f>
      </c>
      <c r="AA27" s="61">
        <f>IF(AND($C27="Objectif",AA$7&gt;=$E27,AA$7&lt;=$E27+$F27-1),2,IF(AND($C27="Jalon",AA$7&gt;=$E27,AA$7&lt;=$E27+$F27-1),1,""))</f>
      </c>
      <c r="AB27" s="61">
        <f>IF(AND($C27="Objectif",AB$7&gt;=$E27,AB$7&lt;=$E27+$F27-1),2,IF(AND($C27="Jalon",AB$7&gt;=$E27,AB$7&lt;=$E27+$F27-1),1,""))</f>
      </c>
      <c r="AC27" s="61">
        <f>IF(AND($C27="Objectif",AC$7&gt;=$E27,AC$7&lt;=$E27+$F27-1),2,IF(AND($C27="Jalon",AC$7&gt;=$E27,AC$7&lt;=$E27+$F27-1),1,""))</f>
      </c>
      <c r="AD27" s="61">
        <f>IF(AND($C27="Objectif",AD$7&gt;=$E27,AD$7&lt;=$E27+$F27-1),2,IF(AND($C27="Jalon",AD$7&gt;=$E27,AD$7&lt;=$E27+$F27-1),1,""))</f>
      </c>
      <c r="AE27" s="61">
        <f>IF(AND($C27="Objectif",AE$7&gt;=$E27,AE$7&lt;=$E27+$F27-1),2,IF(AND($C27="Jalon",AE$7&gt;=$E27,AE$7&lt;=$E27+$F27-1),1,""))</f>
      </c>
      <c r="AF27" s="61">
        <f>IF(AND($C27="Objectif",AF$7&gt;=$E27,AF$7&lt;=$E27+$F27-1),2,IF(AND($C27="Jalon",AF$7&gt;=$E27,AF$7&lt;=$E27+$F27-1),1,""))</f>
      </c>
      <c r="AG27" s="61">
        <f>IF(AND($C27="Objectif",AG$7&gt;=$E27,AG$7&lt;=$E27+$F27-1),2,IF(AND($C27="Jalon",AG$7&gt;=$E27,AG$7&lt;=$E27+$F27-1),1,""))</f>
      </c>
      <c r="AH27" s="61">
        <f>IF(AND($C27="Objectif",AH$7&gt;=$E27,AH$7&lt;=$E27+$F27-1),2,IF(AND($C27="Jalon",AH$7&gt;=$E27,AH$7&lt;=$E27+$F27-1),1,""))</f>
      </c>
      <c r="AI27" s="61">
        <f>IF(AND($C27="Objectif",AI$7&gt;=$E27,AI$7&lt;=$E27+$F27-1),2,IF(AND($C27="Jalon",AI$7&gt;=$E27,AI$7&lt;=$E27+$F27-1),1,""))</f>
      </c>
      <c r="AJ27" s="61">
        <f>IF(AND($C27="Objectif",AJ$7&gt;=$E27,AJ$7&lt;=$E27+$F27-1),2,IF(AND($C27="Jalon",AJ$7&gt;=$E27,AJ$7&lt;=$E27+$F27-1),1,""))</f>
      </c>
      <c r="AK27" s="61">
        <f>IF(AND($C27="Objectif",AK$7&gt;=$E27,AK$7&lt;=$E27+$F27-1),2,IF(AND($C27="Jalon",AK$7&gt;=$E27,AK$7&lt;=$E27+$F27-1),1,""))</f>
      </c>
      <c r="AL27" s="61">
        <f>IF(AND($C27="Objectif",AL$7&gt;=$E27,AL$7&lt;=$E27+$F27-1),2,IF(AND($C27="Jalon",AL$7&gt;=$E27,AL$7&lt;=$E27+$F27-1),1,""))</f>
      </c>
      <c r="AM27" s="61">
        <f>IF(AND($C27="Objectif",AM$7&gt;=$E27,AM$7&lt;=$E27+$F27-1),2,IF(AND($C27="Jalon",AM$7&gt;=$E27,AM$7&lt;=$E27+$F27-1),1,""))</f>
      </c>
      <c r="AN27" s="61">
        <f>IF(AND($C27="Objectif",AN$7&gt;=$E27,AN$7&lt;=$E27+$F27-1),2,IF(AND($C27="Jalon",AN$7&gt;=$E27,AN$7&lt;=$E27+$F27-1),1,""))</f>
      </c>
      <c r="AO27" s="61">
        <f>IF(AND($C27="Objectif",AO$7&gt;=$E27,AO$7&lt;=$E27+$F27-1),2,IF(AND($C27="Jalon",AO$7&gt;=$E27,AO$7&lt;=$E27+$F27-1),1,""))</f>
      </c>
      <c r="AP27" s="61">
        <f>IF(AND($C27="Objectif",AP$7&gt;=$E27,AP$7&lt;=$E27+$F27-1),2,IF(AND($C27="Jalon",AP$7&gt;=$E27,AP$7&lt;=$E27+$F27-1),1,""))</f>
      </c>
      <c r="AQ27" s="61">
        <f>IF(AND($C27="Objectif",AQ$7&gt;=$E27,AQ$7&lt;=$E27+$F27-1),2,IF(AND($C27="Jalon",AQ$7&gt;=$E27,AQ$7&lt;=$E27+$F27-1),1,""))</f>
      </c>
      <c r="AR27" s="61">
        <f>IF(AND($C27="Objectif",AR$7&gt;=$E27,AR$7&lt;=$E27+$F27-1),2,IF(AND($C27="Jalon",AR$7&gt;=$E27,AR$7&lt;=$E27+$F27-1),1,""))</f>
      </c>
      <c r="AS27" s="61">
        <f>IF(AND($C27="Objectif",AS$7&gt;=$E27,AS$7&lt;=$E27+$F27-1),2,IF(AND($C27="Jalon",AS$7&gt;=$E27,AS$7&lt;=$E27+$F27-1),1,""))</f>
      </c>
      <c r="AT27" s="61">
        <f>IF(AND($C27="Objectif",AT$7&gt;=$E27,AT$7&lt;=$E27+$F27-1),2,IF(AND($C27="Jalon",AT$7&gt;=$E27,AT$7&lt;=$E27+$F27-1),1,""))</f>
      </c>
      <c r="AU27" s="61">
        <f>IF(AND($C27="Objectif",AU$7&gt;=$E27,AU$7&lt;=$E27+$F27-1),2,IF(AND($C27="Jalon",AU$7&gt;=$E27,AU$7&lt;=$E27+$F27-1),1,""))</f>
      </c>
      <c r="AV27" s="61">
        <f>IF(AND($C27="Objectif",AV$7&gt;=$E27,AV$7&lt;=$E27+$F27-1),2,IF(AND($C27="Jalon",AV$7&gt;=$E27,AV$7&lt;=$E27+$F27-1),1,""))</f>
      </c>
      <c r="AW27" s="61">
        <f>IF(AND($C27="Objectif",AW$7&gt;=$E27,AW$7&lt;=$E27+$F27-1),2,IF(AND($C27="Jalon",AW$7&gt;=$E27,AW$7&lt;=$E27+$F27-1),1,""))</f>
      </c>
      <c r="AX27" s="61">
        <f>IF(AND($C27="Objectif",AX$7&gt;=$E27,AX$7&lt;=$E27+$F27-1),2,IF(AND($C27="Jalon",AX$7&gt;=$E27,AX$7&lt;=$E27+$F27-1),1,""))</f>
      </c>
      <c r="AY27" s="61">
        <f>IF(AND($C27="Objectif",AY$7&gt;=$E27,AY$7&lt;=$E27+$F27-1),2,IF(AND($C27="Jalon",AY$7&gt;=$E27,AY$7&lt;=$E27+$F27-1),1,""))</f>
      </c>
      <c r="AZ27" s="61">
        <f>IF(AND($C27="Objectif",AZ$7&gt;=$E27,AZ$7&lt;=$E27+$F27-1),2,IF(AND($C27="Jalon",AZ$7&gt;=$E27,AZ$7&lt;=$E27+$F27-1),1,""))</f>
      </c>
      <c r="BA27" s="61">
        <f>IF(AND($C27="Objectif",BA$7&gt;=$E27,BA$7&lt;=$E27+$F27-1),2,IF(AND($C27="Jalon",BA$7&gt;=$E27,BA$7&lt;=$E27+$F27-1),1,""))</f>
      </c>
      <c r="BB27" s="61">
        <f>IF(AND($C27="Objectif",BB$7&gt;=$E27,BB$7&lt;=$E27+$F27-1),2,IF(AND($C27="Jalon",BB$7&gt;=$E27,BB$7&lt;=$E27+$F27-1),1,""))</f>
      </c>
      <c r="BC27" s="61">
        <f>IF(AND($C27="Objectif",BC$7&gt;=$E27,BC$7&lt;=$E27+$F27-1),2,IF(AND($C27="Jalon",BC$7&gt;=$E27,BC$7&lt;=$E27+$F27-1),1,""))</f>
      </c>
      <c r="BD27" s="61">
        <f>IF(AND($C27="Objectif",BD$7&gt;=$E27,BD$7&lt;=$E27+$F27-1),2,IF(AND($C27="Jalon",BD$7&gt;=$E27,BD$7&lt;=$E27+$F27-1),1,""))</f>
      </c>
      <c r="BE27" s="61">
        <f>IF(AND($C27="Objectif",BE$7&gt;=$E27,BE$7&lt;=$E27+$F27-1),2,IF(AND($C27="Jalon",BE$7&gt;=$E27,BE$7&lt;=$E27+$F27-1),1,""))</f>
      </c>
      <c r="BF27" s="61">
        <f>IF(AND($C27="Objectif",BF$7&gt;=$E27,BF$7&lt;=$E27+$F27-1),2,IF(AND($C27="Jalon",BF$7&gt;=$E27,BF$7&lt;=$E27+$F27-1),1,""))</f>
      </c>
      <c r="BG27" s="61">
        <f>IF(AND($C27="Objectif",BG$7&gt;=$E27,BG$7&lt;=$E27+$F27-1),2,IF(AND($C27="Jalon",BG$7&gt;=$E27,BG$7&lt;=$E27+$F27-1),1,""))</f>
      </c>
      <c r="BH27" s="61">
        <f>IF(AND($C27="Objectif",BH$7&gt;=$E27,BH$7&lt;=$E27+$F27-1),2,IF(AND($C27="Jalon",BH$7&gt;=$E27,BH$7&lt;=$E27+$F27-1),1,""))</f>
      </c>
      <c r="BI27" s="61">
        <f>IF(AND($C27="Objectif",BI$7&gt;=$E27,BI$7&lt;=$E27+$F27-1),2,IF(AND($C27="Jalon",BI$7&gt;=$E27,BI$7&lt;=$E27+$F27-1),1,""))</f>
      </c>
      <c r="BJ27" s="61">
        <f>IF(AND($C27="Objectif",BJ$7&gt;=$E27,BJ$7&lt;=$E27+$F27-1),2,IF(AND($C27="Jalon",BJ$7&gt;=$E27,BJ$7&lt;=$E27+$F27-1),1,""))</f>
      </c>
      <c r="BK27" s="61">
        <f>IF(AND($C27="Objectif",BK$7&gt;=$E27,BK$7&lt;=$E27+$F27-1),2,IF(AND($C27="Jalon",BK$7&gt;=$E27,BK$7&lt;=$E27+$F27-1),1,""))</f>
      </c>
      <c r="BL27" s="1"/>
      <c r="BM27" s="1"/>
      <c r="BN27" s="1"/>
      <c r="BO27" s="1"/>
    </row>
    <row x14ac:dyDescent="0.25" r="28" customHeight="1" ht="40.2">
      <c r="A28" s="64"/>
      <c r="B28" s="63" t="s">
        <v>35</v>
      </c>
      <c r="C28" s="58" t="s">
        <v>23</v>
      </c>
      <c r="D28" s="59">
        <v>0</v>
      </c>
      <c r="E28" s="26">
        <f>E27+F27</f>
        <v>25569.125</v>
      </c>
      <c r="F28" s="58">
        <v>1</v>
      </c>
      <c r="G28" s="60"/>
      <c r="H28" s="61">
        <f>IF(AND($C28="Objectif",H$7&gt;=$E28,H$7&lt;=$E28+$F28-1),2,IF(AND($C28="Jalon",H$7&gt;=$E28,H$7&lt;=$E28+$F28-1),1,""))</f>
      </c>
      <c r="I28" s="61">
        <f>IF(AND($C28="Objectif",I$7&gt;=$E28,I$7&lt;=$E28+$F28-1),2,IF(AND($C28="Jalon",I$7&gt;=$E28,I$7&lt;=$E28+$F28-1),1,""))</f>
      </c>
      <c r="J28" s="61">
        <f>IF(AND($C28="Objectif",J$7&gt;=$E28,J$7&lt;=$E28+$F28-1),2,IF(AND($C28="Jalon",J$7&gt;=$E28,J$7&lt;=$E28+$F28-1),1,""))</f>
      </c>
      <c r="K28" s="61">
        <f>IF(AND($C28="Objectif",K$7&gt;=$E28,K$7&lt;=$E28+$F28-1),2,IF(AND($C28="Jalon",K$7&gt;=$E28,K$7&lt;=$E28+$F28-1),1,""))</f>
      </c>
      <c r="L28" s="61">
        <f>IF(AND($C28="Objectif",L$7&gt;=$E28,L$7&lt;=$E28+$F28-1),2,IF(AND($C28="Jalon",L$7&gt;=$E28,L$7&lt;=$E28+$F28-1),1,""))</f>
      </c>
      <c r="M28" s="61">
        <f>IF(AND($C28="Objectif",M$7&gt;=$E28,M$7&lt;=$E28+$F28-1),2,IF(AND($C28="Jalon",M$7&gt;=$E28,M$7&lt;=$E28+$F28-1),1,""))</f>
      </c>
      <c r="N28" s="61">
        <f>IF(AND($C28="Objectif",N$7&gt;=$E28,N$7&lt;=$E28+$F28-1),2,IF(AND($C28="Jalon",N$7&gt;=$E28,N$7&lt;=$E28+$F28-1),1,""))</f>
      </c>
      <c r="O28" s="61">
        <f>IF(AND($C28="Objectif",O$7&gt;=$E28,O$7&lt;=$E28+$F28-1),2,IF(AND($C28="Jalon",O$7&gt;=$E28,O$7&lt;=$E28+$F28-1),1,""))</f>
      </c>
      <c r="P28" s="61">
        <f>IF(AND($C28="Objectif",P$7&gt;=$E28,P$7&lt;=$E28+$F28-1),2,IF(AND($C28="Jalon",P$7&gt;=$E28,P$7&lt;=$E28+$F28-1),1,""))</f>
      </c>
      <c r="Q28" s="61">
        <f>IF(AND($C28="Objectif",Q$7&gt;=$E28,Q$7&lt;=$E28+$F28-1),2,IF(AND($C28="Jalon",Q$7&gt;=$E28,Q$7&lt;=$E28+$F28-1),1,""))</f>
      </c>
      <c r="R28" s="61">
        <f>IF(AND($C28="Objectif",R$7&gt;=$E28,R$7&lt;=$E28+$F28-1),2,IF(AND($C28="Jalon",R$7&gt;=$E28,R$7&lt;=$E28+$F28-1),1,""))</f>
      </c>
      <c r="S28" s="61">
        <f>IF(AND($C28="Objectif",S$7&gt;=$E28,S$7&lt;=$E28+$F28-1),2,IF(AND($C28="Jalon",S$7&gt;=$E28,S$7&lt;=$E28+$F28-1),1,""))</f>
      </c>
      <c r="T28" s="61">
        <f>IF(AND($C28="Objectif",T$7&gt;=$E28,T$7&lt;=$E28+$F28-1),2,IF(AND($C28="Jalon",T$7&gt;=$E28,T$7&lt;=$E28+$F28-1),1,""))</f>
      </c>
      <c r="U28" s="61">
        <f>IF(AND($C28="Objectif",U$7&gt;=$E28,U$7&lt;=$E28+$F28-1),2,IF(AND($C28="Jalon",U$7&gt;=$E28,U$7&lt;=$E28+$F28-1),1,""))</f>
      </c>
      <c r="V28" s="61">
        <f>IF(AND($C28="Objectif",V$7&gt;=$E28,V$7&lt;=$E28+$F28-1),2,IF(AND($C28="Jalon",V$7&gt;=$E28,V$7&lt;=$E28+$F28-1),1,""))</f>
      </c>
      <c r="W28" s="61">
        <f>IF(AND($C28="Objectif",W$7&gt;=$E28,W$7&lt;=$E28+$F28-1),2,IF(AND($C28="Jalon",W$7&gt;=$E28,W$7&lt;=$E28+$F28-1),1,""))</f>
      </c>
      <c r="X28" s="61">
        <f>IF(AND($C28="Objectif",X$7&gt;=$E28,X$7&lt;=$E28+$F28-1),2,IF(AND($C28="Jalon",X$7&gt;=$E28,X$7&lt;=$E28+$F28-1),1,""))</f>
      </c>
      <c r="Y28" s="61">
        <f>IF(AND($C28="Objectif",Y$7&gt;=$E28,Y$7&lt;=$E28+$F28-1),2,IF(AND($C28="Jalon",Y$7&gt;=$E28,Y$7&lt;=$E28+$F28-1),1,""))</f>
      </c>
      <c r="Z28" s="61">
        <f>IF(AND($C28="Objectif",Z$7&gt;=$E28,Z$7&lt;=$E28+$F28-1),2,IF(AND($C28="Jalon",Z$7&gt;=$E28,Z$7&lt;=$E28+$F28-1),1,""))</f>
      </c>
      <c r="AA28" s="61">
        <f>IF(AND($C28="Objectif",AA$7&gt;=$E28,AA$7&lt;=$E28+$F28-1),2,IF(AND($C28="Jalon",AA$7&gt;=$E28,AA$7&lt;=$E28+$F28-1),1,""))</f>
      </c>
      <c r="AB28" s="61">
        <f>IF(AND($C28="Objectif",AB$7&gt;=$E28,AB$7&lt;=$E28+$F28-1),2,IF(AND($C28="Jalon",AB$7&gt;=$E28,AB$7&lt;=$E28+$F28-1),1,""))</f>
      </c>
      <c r="AC28" s="61">
        <f>IF(AND($C28="Objectif",AC$7&gt;=$E28,AC$7&lt;=$E28+$F28-1),2,IF(AND($C28="Jalon",AC$7&gt;=$E28,AC$7&lt;=$E28+$F28-1),1,""))</f>
      </c>
      <c r="AD28" s="61">
        <f>IF(AND($C28="Objectif",AD$7&gt;=$E28,AD$7&lt;=$E28+$F28-1),2,IF(AND($C28="Jalon",AD$7&gt;=$E28,AD$7&lt;=$E28+$F28-1),1,""))</f>
      </c>
      <c r="AE28" s="61">
        <f>IF(AND($C28="Objectif",AE$7&gt;=$E28,AE$7&lt;=$E28+$F28-1),2,IF(AND($C28="Jalon",AE$7&gt;=$E28,AE$7&lt;=$E28+$F28-1),1,""))</f>
      </c>
      <c r="AF28" s="61">
        <f>IF(AND($C28="Objectif",AF$7&gt;=$E28,AF$7&lt;=$E28+$F28-1),2,IF(AND($C28="Jalon",AF$7&gt;=$E28,AF$7&lt;=$E28+$F28-1),1,""))</f>
      </c>
      <c r="AG28" s="61">
        <f>IF(AND($C28="Objectif",AG$7&gt;=$E28,AG$7&lt;=$E28+$F28-1),2,IF(AND($C28="Jalon",AG$7&gt;=$E28,AG$7&lt;=$E28+$F28-1),1,""))</f>
      </c>
      <c r="AH28" s="61">
        <f>IF(AND($C28="Objectif",AH$7&gt;=$E28,AH$7&lt;=$E28+$F28-1),2,IF(AND($C28="Jalon",AH$7&gt;=$E28,AH$7&lt;=$E28+$F28-1),1,""))</f>
      </c>
      <c r="AI28" s="61">
        <f>IF(AND($C28="Objectif",AI$7&gt;=$E28,AI$7&lt;=$E28+$F28-1),2,IF(AND($C28="Jalon",AI$7&gt;=$E28,AI$7&lt;=$E28+$F28-1),1,""))</f>
      </c>
      <c r="AJ28" s="61">
        <f>IF(AND($C28="Objectif",AJ$7&gt;=$E28,AJ$7&lt;=$E28+$F28-1),2,IF(AND($C28="Jalon",AJ$7&gt;=$E28,AJ$7&lt;=$E28+$F28-1),1,""))</f>
      </c>
      <c r="AK28" s="61">
        <f>IF(AND($C28="Objectif",AK$7&gt;=$E28,AK$7&lt;=$E28+$F28-1),2,IF(AND($C28="Jalon",AK$7&gt;=$E28,AK$7&lt;=$E28+$F28-1),1,""))</f>
      </c>
      <c r="AL28" s="61">
        <f>IF(AND($C28="Objectif",AL$7&gt;=$E28,AL$7&lt;=$E28+$F28-1),2,IF(AND($C28="Jalon",AL$7&gt;=$E28,AL$7&lt;=$E28+$F28-1),1,""))</f>
      </c>
      <c r="AM28" s="61">
        <f>IF(AND($C28="Objectif",AM$7&gt;=$E28,AM$7&lt;=$E28+$F28-1),2,IF(AND($C28="Jalon",AM$7&gt;=$E28,AM$7&lt;=$E28+$F28-1),1,""))</f>
      </c>
      <c r="AN28" s="61">
        <f>IF(AND($C28="Objectif",AN$7&gt;=$E28,AN$7&lt;=$E28+$F28-1),2,IF(AND($C28="Jalon",AN$7&gt;=$E28,AN$7&lt;=$E28+$F28-1),1,""))</f>
      </c>
      <c r="AO28" s="61">
        <f>IF(AND($C28="Objectif",AO$7&gt;=$E28,AO$7&lt;=$E28+$F28-1),2,IF(AND($C28="Jalon",AO$7&gt;=$E28,AO$7&lt;=$E28+$F28-1),1,""))</f>
      </c>
      <c r="AP28" s="61">
        <f>IF(AND($C28="Objectif",AP$7&gt;=$E28,AP$7&lt;=$E28+$F28-1),2,IF(AND($C28="Jalon",AP$7&gt;=$E28,AP$7&lt;=$E28+$F28-1),1,""))</f>
      </c>
      <c r="AQ28" s="61">
        <f>IF(AND($C28="Objectif",AQ$7&gt;=$E28,AQ$7&lt;=$E28+$F28-1),2,IF(AND($C28="Jalon",AQ$7&gt;=$E28,AQ$7&lt;=$E28+$F28-1),1,""))</f>
      </c>
      <c r="AR28" s="61">
        <f>IF(AND($C28="Objectif",AR$7&gt;=$E28,AR$7&lt;=$E28+$F28-1),2,IF(AND($C28="Jalon",AR$7&gt;=$E28,AR$7&lt;=$E28+$F28-1),1,""))</f>
      </c>
      <c r="AS28" s="61">
        <f>IF(AND($C28="Objectif",AS$7&gt;=$E28,AS$7&lt;=$E28+$F28-1),2,IF(AND($C28="Jalon",AS$7&gt;=$E28,AS$7&lt;=$E28+$F28-1),1,""))</f>
      </c>
      <c r="AT28" s="61">
        <f>IF(AND($C28="Objectif",AT$7&gt;=$E28,AT$7&lt;=$E28+$F28-1),2,IF(AND($C28="Jalon",AT$7&gt;=$E28,AT$7&lt;=$E28+$F28-1),1,""))</f>
      </c>
      <c r="AU28" s="61">
        <f>IF(AND($C28="Objectif",AU$7&gt;=$E28,AU$7&lt;=$E28+$F28-1),2,IF(AND($C28="Jalon",AU$7&gt;=$E28,AU$7&lt;=$E28+$F28-1),1,""))</f>
      </c>
      <c r="AV28" s="61">
        <f>IF(AND($C28="Objectif",AV$7&gt;=$E28,AV$7&lt;=$E28+$F28-1),2,IF(AND($C28="Jalon",AV$7&gt;=$E28,AV$7&lt;=$E28+$F28-1),1,""))</f>
      </c>
      <c r="AW28" s="61">
        <f>IF(AND($C28="Objectif",AW$7&gt;=$E28,AW$7&lt;=$E28+$F28-1),2,IF(AND($C28="Jalon",AW$7&gt;=$E28,AW$7&lt;=$E28+$F28-1),1,""))</f>
      </c>
      <c r="AX28" s="61">
        <f>IF(AND($C28="Objectif",AX$7&gt;=$E28,AX$7&lt;=$E28+$F28-1),2,IF(AND($C28="Jalon",AX$7&gt;=$E28,AX$7&lt;=$E28+$F28-1),1,""))</f>
      </c>
      <c r="AY28" s="61">
        <f>IF(AND($C28="Objectif",AY$7&gt;=$E28,AY$7&lt;=$E28+$F28-1),2,IF(AND($C28="Jalon",AY$7&gt;=$E28,AY$7&lt;=$E28+$F28-1),1,""))</f>
      </c>
      <c r="AZ28" s="61">
        <f>IF(AND($C28="Objectif",AZ$7&gt;=$E28,AZ$7&lt;=$E28+$F28-1),2,IF(AND($C28="Jalon",AZ$7&gt;=$E28,AZ$7&lt;=$E28+$F28-1),1,""))</f>
      </c>
      <c r="BA28" s="61">
        <f>IF(AND($C28="Objectif",BA$7&gt;=$E28,BA$7&lt;=$E28+$F28-1),2,IF(AND($C28="Jalon",BA$7&gt;=$E28,BA$7&lt;=$E28+$F28-1),1,""))</f>
      </c>
      <c r="BB28" s="61">
        <f>IF(AND($C28="Objectif",BB$7&gt;=$E28,BB$7&lt;=$E28+$F28-1),2,IF(AND($C28="Jalon",BB$7&gt;=$E28,BB$7&lt;=$E28+$F28-1),1,""))</f>
      </c>
      <c r="BC28" s="61">
        <f>IF(AND($C28="Objectif",BC$7&gt;=$E28,BC$7&lt;=$E28+$F28-1),2,IF(AND($C28="Jalon",BC$7&gt;=$E28,BC$7&lt;=$E28+$F28-1),1,""))</f>
      </c>
      <c r="BD28" s="61">
        <f>IF(AND($C28="Objectif",BD$7&gt;=$E28,BD$7&lt;=$E28+$F28-1),2,IF(AND($C28="Jalon",BD$7&gt;=$E28,BD$7&lt;=$E28+$F28-1),1,""))</f>
      </c>
      <c r="BE28" s="61">
        <f>IF(AND($C28="Objectif",BE$7&gt;=$E28,BE$7&lt;=$E28+$F28-1),2,IF(AND($C28="Jalon",BE$7&gt;=$E28,BE$7&lt;=$E28+$F28-1),1,""))</f>
      </c>
      <c r="BF28" s="61">
        <f>IF(AND($C28="Objectif",BF$7&gt;=$E28,BF$7&lt;=$E28+$F28-1),2,IF(AND($C28="Jalon",BF$7&gt;=$E28,BF$7&lt;=$E28+$F28-1),1,""))</f>
      </c>
      <c r="BG28" s="61">
        <f>IF(AND($C28="Objectif",BG$7&gt;=$E28,BG$7&lt;=$E28+$F28-1),2,IF(AND($C28="Jalon",BG$7&gt;=$E28,BG$7&lt;=$E28+$F28-1),1,""))</f>
      </c>
      <c r="BH28" s="61">
        <f>IF(AND($C28="Objectif",BH$7&gt;=$E28,BH$7&lt;=$E28+$F28-1),2,IF(AND($C28="Jalon",BH$7&gt;=$E28,BH$7&lt;=$E28+$F28-1),1,""))</f>
      </c>
      <c r="BI28" s="61">
        <f>IF(AND($C28="Objectif",BI$7&gt;=$E28,BI$7&lt;=$E28+$F28-1),2,IF(AND($C28="Jalon",BI$7&gt;=$E28,BI$7&lt;=$E28+$F28-1),1,""))</f>
      </c>
      <c r="BJ28" s="61">
        <f>IF(AND($C28="Objectif",BJ$7&gt;=$E28,BJ$7&lt;=$E28+$F28-1),2,IF(AND($C28="Jalon",BJ$7&gt;=$E28,BJ$7&lt;=$E28+$F28-1),1,""))</f>
      </c>
      <c r="BK28" s="61">
        <f>IF(AND($C28="Objectif",BK$7&gt;=$E28,BK$7&lt;=$E28+$F28-1),2,IF(AND($C28="Jalon",BK$7&gt;=$E28,BK$7&lt;=$E28+$F28-1),1,""))</f>
      </c>
      <c r="BL28" s="1"/>
      <c r="BM28" s="1"/>
      <c r="BN28" s="1"/>
      <c r="BO28" s="1"/>
    </row>
    <row x14ac:dyDescent="0.25" r="29" customHeight="1" ht="40.2">
      <c r="A29" s="64"/>
      <c r="B29" s="57" t="s">
        <v>36</v>
      </c>
      <c r="C29" s="58"/>
      <c r="D29" s="59"/>
      <c r="E29" s="26">
        <f>E28+F28</f>
        <v>25569.125</v>
      </c>
      <c r="F29" s="58">
        <f>E34+F34-E29</f>
      </c>
      <c r="G29" s="60"/>
      <c r="H29" s="61">
        <f>IF(AND($C29="Objectif",H$7&gt;=$E29,H$7&lt;=$E29+$F29-1),2,IF(AND($C29="Jalon",H$7&gt;=$E29,H$7&lt;=$E29+$F29-1),1,""))</f>
      </c>
      <c r="I29" s="61">
        <f>IF(AND($C29="Objectif",I$7&gt;=$E29,I$7&lt;=$E29+$F29-1),2,IF(AND($C29="Jalon",I$7&gt;=$E29,I$7&lt;=$E29+$F29-1),1,""))</f>
      </c>
      <c r="J29" s="61">
        <f>IF(AND($C29="Objectif",J$7&gt;=$E29,J$7&lt;=$E29+$F29-1),2,IF(AND($C29="Jalon",J$7&gt;=$E29,J$7&lt;=$E29+$F29-1),1,""))</f>
      </c>
      <c r="K29" s="61">
        <f>IF(AND($C29="Objectif",K$7&gt;=$E29,K$7&lt;=$E29+$F29-1),2,IF(AND($C29="Jalon",K$7&gt;=$E29,K$7&lt;=$E29+$F29-1),1,""))</f>
      </c>
      <c r="L29" s="61">
        <f>IF(AND($C29="Objectif",L$7&gt;=$E29,L$7&lt;=$E29+$F29-1),2,IF(AND($C29="Jalon",L$7&gt;=$E29,L$7&lt;=$E29+$F29-1),1,""))</f>
      </c>
      <c r="M29" s="61">
        <f>IF(AND($C29="Objectif",M$7&gt;=$E29,M$7&lt;=$E29+$F29-1),2,IF(AND($C29="Jalon",M$7&gt;=$E29,M$7&lt;=$E29+$F29-1),1,""))</f>
      </c>
      <c r="N29" s="61">
        <f>IF(AND($C29="Objectif",N$7&gt;=$E29,N$7&lt;=$E29+$F29-1),2,IF(AND($C29="Jalon",N$7&gt;=$E29,N$7&lt;=$E29+$F29-1),1,""))</f>
      </c>
      <c r="O29" s="61">
        <f>IF(AND($C29="Objectif",O$7&gt;=$E29,O$7&lt;=$E29+$F29-1),2,IF(AND($C29="Jalon",O$7&gt;=$E29,O$7&lt;=$E29+$F29-1),1,""))</f>
      </c>
      <c r="P29" s="61">
        <f>IF(AND($C29="Objectif",P$7&gt;=$E29,P$7&lt;=$E29+$F29-1),2,IF(AND($C29="Jalon",P$7&gt;=$E29,P$7&lt;=$E29+$F29-1),1,""))</f>
      </c>
      <c r="Q29" s="61">
        <f>IF(AND($C29="Objectif",Q$7&gt;=$E29,Q$7&lt;=$E29+$F29-1),2,IF(AND($C29="Jalon",Q$7&gt;=$E29,Q$7&lt;=$E29+$F29-1),1,""))</f>
      </c>
      <c r="R29" s="61">
        <f>IF(AND($C29="Objectif",R$7&gt;=$E29,R$7&lt;=$E29+$F29-1),2,IF(AND($C29="Jalon",R$7&gt;=$E29,R$7&lt;=$E29+$F29-1),1,""))</f>
      </c>
      <c r="S29" s="61">
        <f>IF(AND($C29="Objectif",S$7&gt;=$E29,S$7&lt;=$E29+$F29-1),2,IF(AND($C29="Jalon",S$7&gt;=$E29,S$7&lt;=$E29+$F29-1),1,""))</f>
      </c>
      <c r="T29" s="61">
        <f>IF(AND($C29="Objectif",T$7&gt;=$E29,T$7&lt;=$E29+$F29-1),2,IF(AND($C29="Jalon",T$7&gt;=$E29,T$7&lt;=$E29+$F29-1),1,""))</f>
      </c>
      <c r="U29" s="61">
        <f>IF(AND($C29="Objectif",U$7&gt;=$E29,U$7&lt;=$E29+$F29-1),2,IF(AND($C29="Jalon",U$7&gt;=$E29,U$7&lt;=$E29+$F29-1),1,""))</f>
      </c>
      <c r="V29" s="61">
        <f>IF(AND($C29="Objectif",V$7&gt;=$E29,V$7&lt;=$E29+$F29-1),2,IF(AND($C29="Jalon",V$7&gt;=$E29,V$7&lt;=$E29+$F29-1),1,""))</f>
      </c>
      <c r="W29" s="61">
        <f>IF(AND($C29="Objectif",W$7&gt;=$E29,W$7&lt;=$E29+$F29-1),2,IF(AND($C29="Jalon",W$7&gt;=$E29,W$7&lt;=$E29+$F29-1),1,""))</f>
      </c>
      <c r="X29" s="61">
        <f>IF(AND($C29="Objectif",X$7&gt;=$E29,X$7&lt;=$E29+$F29-1),2,IF(AND($C29="Jalon",X$7&gt;=$E29,X$7&lt;=$E29+$F29-1),1,""))</f>
      </c>
      <c r="Y29" s="61">
        <f>IF(AND($C29="Objectif",Y$7&gt;=$E29,Y$7&lt;=$E29+$F29-1),2,IF(AND($C29="Jalon",Y$7&gt;=$E29,Y$7&lt;=$E29+$F29-1),1,""))</f>
      </c>
      <c r="Z29" s="61">
        <f>IF(AND($C29="Objectif",Z$7&gt;=$E29,Z$7&lt;=$E29+$F29-1),2,IF(AND($C29="Jalon",Z$7&gt;=$E29,Z$7&lt;=$E29+$F29-1),1,""))</f>
      </c>
      <c r="AA29" s="61">
        <f>IF(AND($C29="Objectif",AA$7&gt;=$E29,AA$7&lt;=$E29+$F29-1),2,IF(AND($C29="Jalon",AA$7&gt;=$E29,AA$7&lt;=$E29+$F29-1),1,""))</f>
      </c>
      <c r="AB29" s="61">
        <f>IF(AND($C29="Objectif",AB$7&gt;=$E29,AB$7&lt;=$E29+$F29-1),2,IF(AND($C29="Jalon",AB$7&gt;=$E29,AB$7&lt;=$E29+$F29-1),1,""))</f>
      </c>
      <c r="AC29" s="61">
        <f>IF(AND($C29="Objectif",AC$7&gt;=$E29,AC$7&lt;=$E29+$F29-1),2,IF(AND($C29="Jalon",AC$7&gt;=$E29,AC$7&lt;=$E29+$F29-1),1,""))</f>
      </c>
      <c r="AD29" s="61">
        <f>IF(AND($C29="Objectif",AD$7&gt;=$E29,AD$7&lt;=$E29+$F29-1),2,IF(AND($C29="Jalon",AD$7&gt;=$E29,AD$7&lt;=$E29+$F29-1),1,""))</f>
      </c>
      <c r="AE29" s="61">
        <f>IF(AND($C29="Objectif",AE$7&gt;=$E29,AE$7&lt;=$E29+$F29-1),2,IF(AND($C29="Jalon",AE$7&gt;=$E29,AE$7&lt;=$E29+$F29-1),1,""))</f>
      </c>
      <c r="AF29" s="61">
        <f>IF(AND($C29="Objectif",AF$7&gt;=$E29,AF$7&lt;=$E29+$F29-1),2,IF(AND($C29="Jalon",AF$7&gt;=$E29,AF$7&lt;=$E29+$F29-1),1,""))</f>
      </c>
      <c r="AG29" s="61">
        <f>IF(AND($C29="Objectif",AG$7&gt;=$E29,AG$7&lt;=$E29+$F29-1),2,IF(AND($C29="Jalon",AG$7&gt;=$E29,AG$7&lt;=$E29+$F29-1),1,""))</f>
      </c>
      <c r="AH29" s="61">
        <f>IF(AND($C29="Objectif",AH$7&gt;=$E29,AH$7&lt;=$E29+$F29-1),2,IF(AND($C29="Jalon",AH$7&gt;=$E29,AH$7&lt;=$E29+$F29-1),1,""))</f>
      </c>
      <c r="AI29" s="61">
        <f>IF(AND($C29="Objectif",AI$7&gt;=$E29,AI$7&lt;=$E29+$F29-1),2,IF(AND($C29="Jalon",AI$7&gt;=$E29,AI$7&lt;=$E29+$F29-1),1,""))</f>
      </c>
      <c r="AJ29" s="61">
        <f>IF(AND($C29="Objectif",AJ$7&gt;=$E29,AJ$7&lt;=$E29+$F29-1),2,IF(AND($C29="Jalon",AJ$7&gt;=$E29,AJ$7&lt;=$E29+$F29-1),1,""))</f>
      </c>
      <c r="AK29" s="61">
        <f>IF(AND($C29="Objectif",AK$7&gt;=$E29,AK$7&lt;=$E29+$F29-1),2,IF(AND($C29="Jalon",AK$7&gt;=$E29,AK$7&lt;=$E29+$F29-1),1,""))</f>
      </c>
      <c r="AL29" s="61">
        <f>IF(AND($C29="Objectif",AL$7&gt;=$E29,AL$7&lt;=$E29+$F29-1),2,IF(AND($C29="Jalon",AL$7&gt;=$E29,AL$7&lt;=$E29+$F29-1),1,""))</f>
      </c>
      <c r="AM29" s="61">
        <f>IF(AND($C29="Objectif",AM$7&gt;=$E29,AM$7&lt;=$E29+$F29-1),2,IF(AND($C29="Jalon",AM$7&gt;=$E29,AM$7&lt;=$E29+$F29-1),1,""))</f>
      </c>
      <c r="AN29" s="61">
        <f>IF(AND($C29="Objectif",AN$7&gt;=$E29,AN$7&lt;=$E29+$F29-1),2,IF(AND($C29="Jalon",AN$7&gt;=$E29,AN$7&lt;=$E29+$F29-1),1,""))</f>
      </c>
      <c r="AO29" s="61">
        <f>IF(AND($C29="Objectif",AO$7&gt;=$E29,AO$7&lt;=$E29+$F29-1),2,IF(AND($C29="Jalon",AO$7&gt;=$E29,AO$7&lt;=$E29+$F29-1),1,""))</f>
      </c>
      <c r="AP29" s="61">
        <f>IF(AND($C29="Objectif",AP$7&gt;=$E29,AP$7&lt;=$E29+$F29-1),2,IF(AND($C29="Jalon",AP$7&gt;=$E29,AP$7&lt;=$E29+$F29-1),1,""))</f>
      </c>
      <c r="AQ29" s="61">
        <f>IF(AND($C29="Objectif",AQ$7&gt;=$E29,AQ$7&lt;=$E29+$F29-1),2,IF(AND($C29="Jalon",AQ$7&gt;=$E29,AQ$7&lt;=$E29+$F29-1),1,""))</f>
      </c>
      <c r="AR29" s="61">
        <f>IF(AND($C29="Objectif",AR$7&gt;=$E29,AR$7&lt;=$E29+$F29-1),2,IF(AND($C29="Jalon",AR$7&gt;=$E29,AR$7&lt;=$E29+$F29-1),1,""))</f>
      </c>
      <c r="AS29" s="61">
        <f>IF(AND($C29="Objectif",AS$7&gt;=$E29,AS$7&lt;=$E29+$F29-1),2,IF(AND($C29="Jalon",AS$7&gt;=$E29,AS$7&lt;=$E29+$F29-1),1,""))</f>
      </c>
      <c r="AT29" s="61">
        <f>IF(AND($C29="Objectif",AT$7&gt;=$E29,AT$7&lt;=$E29+$F29-1),2,IF(AND($C29="Jalon",AT$7&gt;=$E29,AT$7&lt;=$E29+$F29-1),1,""))</f>
      </c>
      <c r="AU29" s="61">
        <f>IF(AND($C29="Objectif",AU$7&gt;=$E29,AU$7&lt;=$E29+$F29-1),2,IF(AND($C29="Jalon",AU$7&gt;=$E29,AU$7&lt;=$E29+$F29-1),1,""))</f>
      </c>
      <c r="AV29" s="61">
        <f>IF(AND($C29="Objectif",AV$7&gt;=$E29,AV$7&lt;=$E29+$F29-1),2,IF(AND($C29="Jalon",AV$7&gt;=$E29,AV$7&lt;=$E29+$F29-1),1,""))</f>
      </c>
      <c r="AW29" s="61">
        <f>IF(AND($C29="Objectif",AW$7&gt;=$E29,AW$7&lt;=$E29+$F29-1),2,IF(AND($C29="Jalon",AW$7&gt;=$E29,AW$7&lt;=$E29+$F29-1),1,""))</f>
      </c>
      <c r="AX29" s="61">
        <f>IF(AND($C29="Objectif",AX$7&gt;=$E29,AX$7&lt;=$E29+$F29-1),2,IF(AND($C29="Jalon",AX$7&gt;=$E29,AX$7&lt;=$E29+$F29-1),1,""))</f>
      </c>
      <c r="AY29" s="61">
        <f>IF(AND($C29="Objectif",AY$7&gt;=$E29,AY$7&lt;=$E29+$F29-1),2,IF(AND($C29="Jalon",AY$7&gt;=$E29,AY$7&lt;=$E29+$F29-1),1,""))</f>
      </c>
      <c r="AZ29" s="61">
        <f>IF(AND($C29="Objectif",AZ$7&gt;=$E29,AZ$7&lt;=$E29+$F29-1),2,IF(AND($C29="Jalon",AZ$7&gt;=$E29,AZ$7&lt;=$E29+$F29-1),1,""))</f>
      </c>
      <c r="BA29" s="61">
        <f>IF(AND($C29="Objectif",BA$7&gt;=$E29,BA$7&lt;=$E29+$F29-1),2,IF(AND($C29="Jalon",BA$7&gt;=$E29,BA$7&lt;=$E29+$F29-1),1,""))</f>
      </c>
      <c r="BB29" s="61">
        <f>IF(AND($C29="Objectif",BB$7&gt;=$E29,BB$7&lt;=$E29+$F29-1),2,IF(AND($C29="Jalon",BB$7&gt;=$E29,BB$7&lt;=$E29+$F29-1),1,""))</f>
      </c>
      <c r="BC29" s="61">
        <f>IF(AND($C29="Objectif",BC$7&gt;=$E29,BC$7&lt;=$E29+$F29-1),2,IF(AND($C29="Jalon",BC$7&gt;=$E29,BC$7&lt;=$E29+$F29-1),1,""))</f>
      </c>
      <c r="BD29" s="61">
        <f>IF(AND($C29="Objectif",BD$7&gt;=$E29,BD$7&lt;=$E29+$F29-1),2,IF(AND($C29="Jalon",BD$7&gt;=$E29,BD$7&lt;=$E29+$F29-1),1,""))</f>
      </c>
      <c r="BE29" s="61">
        <f>IF(AND($C29="Objectif",BE$7&gt;=$E29,BE$7&lt;=$E29+$F29-1),2,IF(AND($C29="Jalon",BE$7&gt;=$E29,BE$7&lt;=$E29+$F29-1),1,""))</f>
      </c>
      <c r="BF29" s="61">
        <f>IF(AND($C29="Objectif",BF$7&gt;=$E29,BF$7&lt;=$E29+$F29-1),2,IF(AND($C29="Jalon",BF$7&gt;=$E29,BF$7&lt;=$E29+$F29-1),1,""))</f>
      </c>
      <c r="BG29" s="61">
        <f>IF(AND($C29="Objectif",BG$7&gt;=$E29,BG$7&lt;=$E29+$F29-1),2,IF(AND($C29="Jalon",BG$7&gt;=$E29,BG$7&lt;=$E29+$F29-1),1,""))</f>
      </c>
      <c r="BH29" s="61">
        <f>IF(AND($C29="Objectif",BH$7&gt;=$E29,BH$7&lt;=$E29+$F29-1),2,IF(AND($C29="Jalon",BH$7&gt;=$E29,BH$7&lt;=$E29+$F29-1),1,""))</f>
      </c>
      <c r="BI29" s="61">
        <f>IF(AND($C29="Objectif",BI$7&gt;=$E29,BI$7&lt;=$E29+$F29-1),2,IF(AND($C29="Jalon",BI$7&gt;=$E29,BI$7&lt;=$E29+$F29-1),1,""))</f>
      </c>
      <c r="BJ29" s="61">
        <f>IF(AND($C29="Objectif",BJ$7&gt;=$E29,BJ$7&lt;=$E29+$F29-1),2,IF(AND($C29="Jalon",BJ$7&gt;=$E29,BJ$7&lt;=$E29+$F29-1),1,""))</f>
      </c>
      <c r="BK29" s="61">
        <f>IF(AND($C29="Objectif",BK$7&gt;=$E29,BK$7&lt;=$E29+$F29-1),2,IF(AND($C29="Jalon",BK$7&gt;=$E29,BK$7&lt;=$E29+$F29-1),1,""))</f>
      </c>
      <c r="BL29" s="1"/>
      <c r="BM29" s="1"/>
      <c r="BN29" s="1"/>
      <c r="BO29" s="1"/>
    </row>
    <row x14ac:dyDescent="0.25" r="30" customHeight="1" ht="40.2">
      <c r="A30" s="64"/>
      <c r="B30" s="63" t="s">
        <v>37</v>
      </c>
      <c r="C30" s="58" t="s">
        <v>5</v>
      </c>
      <c r="D30" s="59">
        <v>0.5</v>
      </c>
      <c r="E30" s="26">
        <f>E29</f>
        <v>25569.125</v>
      </c>
      <c r="F30" s="58">
        <v>15</v>
      </c>
      <c r="G30" s="60"/>
      <c r="H30" s="61">
        <f>IF(AND($C30="Objectif",H$7&gt;=$E30,H$7&lt;=$E30+$F30-1),2,IF(AND($C30="Jalon",H$7&gt;=$E30,H$7&lt;=$E30+$F30-1),1,""))</f>
      </c>
      <c r="I30" s="61">
        <f>IF(AND($C30="Objectif",I$7&gt;=$E30,I$7&lt;=$E30+$F30-1),2,IF(AND($C30="Jalon",I$7&gt;=$E30,I$7&lt;=$E30+$F30-1),1,""))</f>
      </c>
      <c r="J30" s="61">
        <f>IF(AND($C30="Objectif",J$7&gt;=$E30,J$7&lt;=$E30+$F30-1),2,IF(AND($C30="Jalon",J$7&gt;=$E30,J$7&lt;=$E30+$F30-1),1,""))</f>
      </c>
      <c r="K30" s="61">
        <f>IF(AND($C30="Objectif",K$7&gt;=$E30,K$7&lt;=$E30+$F30-1),2,IF(AND($C30="Jalon",K$7&gt;=$E30,K$7&lt;=$E30+$F30-1),1,""))</f>
      </c>
      <c r="L30" s="61">
        <f>IF(AND($C30="Objectif",L$7&gt;=$E30,L$7&lt;=$E30+$F30-1),2,IF(AND($C30="Jalon",L$7&gt;=$E30,L$7&lt;=$E30+$F30-1),1,""))</f>
      </c>
      <c r="M30" s="61">
        <f>IF(AND($C30="Objectif",M$7&gt;=$E30,M$7&lt;=$E30+$F30-1),2,IF(AND($C30="Jalon",M$7&gt;=$E30,M$7&lt;=$E30+$F30-1),1,""))</f>
      </c>
      <c r="N30" s="61">
        <f>IF(AND($C30="Objectif",N$7&gt;=$E30,N$7&lt;=$E30+$F30-1),2,IF(AND($C30="Jalon",N$7&gt;=$E30,N$7&lt;=$E30+$F30-1),1,""))</f>
      </c>
      <c r="O30" s="61">
        <f>IF(AND($C30="Objectif",O$7&gt;=$E30,O$7&lt;=$E30+$F30-1),2,IF(AND($C30="Jalon",O$7&gt;=$E30,O$7&lt;=$E30+$F30-1),1,""))</f>
      </c>
      <c r="P30" s="61">
        <f>IF(AND($C30="Objectif",P$7&gt;=$E30,P$7&lt;=$E30+$F30-1),2,IF(AND($C30="Jalon",P$7&gt;=$E30,P$7&lt;=$E30+$F30-1),1,""))</f>
      </c>
      <c r="Q30" s="61">
        <f>IF(AND($C30="Objectif",Q$7&gt;=$E30,Q$7&lt;=$E30+$F30-1),2,IF(AND($C30="Jalon",Q$7&gt;=$E30,Q$7&lt;=$E30+$F30-1),1,""))</f>
      </c>
      <c r="R30" s="61">
        <f>IF(AND($C30="Objectif",R$7&gt;=$E30,R$7&lt;=$E30+$F30-1),2,IF(AND($C30="Jalon",R$7&gt;=$E30,R$7&lt;=$E30+$F30-1),1,""))</f>
      </c>
      <c r="S30" s="61">
        <f>IF(AND($C30="Objectif",S$7&gt;=$E30,S$7&lt;=$E30+$F30-1),2,IF(AND($C30="Jalon",S$7&gt;=$E30,S$7&lt;=$E30+$F30-1),1,""))</f>
      </c>
      <c r="T30" s="61">
        <f>IF(AND($C30="Objectif",T$7&gt;=$E30,T$7&lt;=$E30+$F30-1),2,IF(AND($C30="Jalon",T$7&gt;=$E30,T$7&lt;=$E30+$F30-1),1,""))</f>
      </c>
      <c r="U30" s="61">
        <f>IF(AND($C30="Objectif",U$7&gt;=$E30,U$7&lt;=$E30+$F30-1),2,IF(AND($C30="Jalon",U$7&gt;=$E30,U$7&lt;=$E30+$F30-1),1,""))</f>
      </c>
      <c r="V30" s="61">
        <f>IF(AND($C30="Objectif",V$7&gt;=$E30,V$7&lt;=$E30+$F30-1),2,IF(AND($C30="Jalon",V$7&gt;=$E30,V$7&lt;=$E30+$F30-1),1,""))</f>
      </c>
      <c r="W30" s="61">
        <f>IF(AND($C30="Objectif",W$7&gt;=$E30,W$7&lt;=$E30+$F30-1),2,IF(AND($C30="Jalon",W$7&gt;=$E30,W$7&lt;=$E30+$F30-1),1,""))</f>
      </c>
      <c r="X30" s="61">
        <f>IF(AND($C30="Objectif",X$7&gt;=$E30,X$7&lt;=$E30+$F30-1),2,IF(AND($C30="Jalon",X$7&gt;=$E30,X$7&lt;=$E30+$F30-1),1,""))</f>
      </c>
      <c r="Y30" s="61">
        <f>IF(AND($C30="Objectif",Y$7&gt;=$E30,Y$7&lt;=$E30+$F30-1),2,IF(AND($C30="Jalon",Y$7&gt;=$E30,Y$7&lt;=$E30+$F30-1),1,""))</f>
      </c>
      <c r="Z30" s="61">
        <f>IF(AND($C30="Objectif",Z$7&gt;=$E30,Z$7&lt;=$E30+$F30-1),2,IF(AND($C30="Jalon",Z$7&gt;=$E30,Z$7&lt;=$E30+$F30-1),1,""))</f>
      </c>
      <c r="AA30" s="61">
        <f>IF(AND($C30="Objectif",AA$7&gt;=$E30,AA$7&lt;=$E30+$F30-1),2,IF(AND($C30="Jalon",AA$7&gt;=$E30,AA$7&lt;=$E30+$F30-1),1,""))</f>
      </c>
      <c r="AB30" s="61">
        <f>IF(AND($C30="Objectif",AB$7&gt;=$E30,AB$7&lt;=$E30+$F30-1),2,IF(AND($C30="Jalon",AB$7&gt;=$E30,AB$7&lt;=$E30+$F30-1),1,""))</f>
      </c>
      <c r="AC30" s="61">
        <f>IF(AND($C30="Objectif",AC$7&gt;=$E30,AC$7&lt;=$E30+$F30-1),2,IF(AND($C30="Jalon",AC$7&gt;=$E30,AC$7&lt;=$E30+$F30-1),1,""))</f>
      </c>
      <c r="AD30" s="61">
        <f>IF(AND($C30="Objectif",AD$7&gt;=$E30,AD$7&lt;=$E30+$F30-1),2,IF(AND($C30="Jalon",AD$7&gt;=$E30,AD$7&lt;=$E30+$F30-1),1,""))</f>
      </c>
      <c r="AE30" s="61">
        <f>IF(AND($C30="Objectif",AE$7&gt;=$E30,AE$7&lt;=$E30+$F30-1),2,IF(AND($C30="Jalon",AE$7&gt;=$E30,AE$7&lt;=$E30+$F30-1),1,""))</f>
      </c>
      <c r="AF30" s="61">
        <f>IF(AND($C30="Objectif",AF$7&gt;=$E30,AF$7&lt;=$E30+$F30-1),2,IF(AND($C30="Jalon",AF$7&gt;=$E30,AF$7&lt;=$E30+$F30-1),1,""))</f>
      </c>
      <c r="AG30" s="61">
        <f>IF(AND($C30="Objectif",AG$7&gt;=$E30,AG$7&lt;=$E30+$F30-1),2,IF(AND($C30="Jalon",AG$7&gt;=$E30,AG$7&lt;=$E30+$F30-1),1,""))</f>
      </c>
      <c r="AH30" s="61">
        <f>IF(AND($C30="Objectif",AH$7&gt;=$E30,AH$7&lt;=$E30+$F30-1),2,IF(AND($C30="Jalon",AH$7&gt;=$E30,AH$7&lt;=$E30+$F30-1),1,""))</f>
      </c>
      <c r="AI30" s="61">
        <f>IF(AND($C30="Objectif",AI$7&gt;=$E30,AI$7&lt;=$E30+$F30-1),2,IF(AND($C30="Jalon",AI$7&gt;=$E30,AI$7&lt;=$E30+$F30-1),1,""))</f>
      </c>
      <c r="AJ30" s="61">
        <f>IF(AND($C30="Objectif",AJ$7&gt;=$E30,AJ$7&lt;=$E30+$F30-1),2,IF(AND($C30="Jalon",AJ$7&gt;=$E30,AJ$7&lt;=$E30+$F30-1),1,""))</f>
      </c>
      <c r="AK30" s="61">
        <f>IF(AND($C30="Objectif",AK$7&gt;=$E30,AK$7&lt;=$E30+$F30-1),2,IF(AND($C30="Jalon",AK$7&gt;=$E30,AK$7&lt;=$E30+$F30-1),1,""))</f>
      </c>
      <c r="AL30" s="61">
        <f>IF(AND($C30="Objectif",AL$7&gt;=$E30,AL$7&lt;=$E30+$F30-1),2,IF(AND($C30="Jalon",AL$7&gt;=$E30,AL$7&lt;=$E30+$F30-1),1,""))</f>
      </c>
      <c r="AM30" s="61">
        <f>IF(AND($C30="Objectif",AM$7&gt;=$E30,AM$7&lt;=$E30+$F30-1),2,IF(AND($C30="Jalon",AM$7&gt;=$E30,AM$7&lt;=$E30+$F30-1),1,""))</f>
      </c>
      <c r="AN30" s="61">
        <f>IF(AND($C30="Objectif",AN$7&gt;=$E30,AN$7&lt;=$E30+$F30-1),2,IF(AND($C30="Jalon",AN$7&gt;=$E30,AN$7&lt;=$E30+$F30-1),1,""))</f>
      </c>
      <c r="AO30" s="61">
        <f>IF(AND($C30="Objectif",AO$7&gt;=$E30,AO$7&lt;=$E30+$F30-1),2,IF(AND($C30="Jalon",AO$7&gt;=$E30,AO$7&lt;=$E30+$F30-1),1,""))</f>
      </c>
      <c r="AP30" s="61">
        <f>IF(AND($C30="Objectif",AP$7&gt;=$E30,AP$7&lt;=$E30+$F30-1),2,IF(AND($C30="Jalon",AP$7&gt;=$E30,AP$7&lt;=$E30+$F30-1),1,""))</f>
      </c>
      <c r="AQ30" s="61">
        <f>IF(AND($C30="Objectif",AQ$7&gt;=$E30,AQ$7&lt;=$E30+$F30-1),2,IF(AND($C30="Jalon",AQ$7&gt;=$E30,AQ$7&lt;=$E30+$F30-1),1,""))</f>
      </c>
      <c r="AR30" s="61">
        <f>IF(AND($C30="Objectif",AR$7&gt;=$E30,AR$7&lt;=$E30+$F30-1),2,IF(AND($C30="Jalon",AR$7&gt;=$E30,AR$7&lt;=$E30+$F30-1),1,""))</f>
      </c>
      <c r="AS30" s="61">
        <f>IF(AND($C30="Objectif",AS$7&gt;=$E30,AS$7&lt;=$E30+$F30-1),2,IF(AND($C30="Jalon",AS$7&gt;=$E30,AS$7&lt;=$E30+$F30-1),1,""))</f>
      </c>
      <c r="AT30" s="61">
        <f>IF(AND($C30="Objectif",AT$7&gt;=$E30,AT$7&lt;=$E30+$F30-1),2,IF(AND($C30="Jalon",AT$7&gt;=$E30,AT$7&lt;=$E30+$F30-1),1,""))</f>
      </c>
      <c r="AU30" s="61">
        <f>IF(AND($C30="Objectif",AU$7&gt;=$E30,AU$7&lt;=$E30+$F30-1),2,IF(AND($C30="Jalon",AU$7&gt;=$E30,AU$7&lt;=$E30+$F30-1),1,""))</f>
      </c>
      <c r="AV30" s="61">
        <f>IF(AND($C30="Objectif",AV$7&gt;=$E30,AV$7&lt;=$E30+$F30-1),2,IF(AND($C30="Jalon",AV$7&gt;=$E30,AV$7&lt;=$E30+$F30-1),1,""))</f>
      </c>
      <c r="AW30" s="61">
        <f>IF(AND($C30="Objectif",AW$7&gt;=$E30,AW$7&lt;=$E30+$F30-1),2,IF(AND($C30="Jalon",AW$7&gt;=$E30,AW$7&lt;=$E30+$F30-1),1,""))</f>
      </c>
      <c r="AX30" s="61">
        <f>IF(AND($C30="Objectif",AX$7&gt;=$E30,AX$7&lt;=$E30+$F30-1),2,IF(AND($C30="Jalon",AX$7&gt;=$E30,AX$7&lt;=$E30+$F30-1),1,""))</f>
      </c>
      <c r="AY30" s="61">
        <f>IF(AND($C30="Objectif",AY$7&gt;=$E30,AY$7&lt;=$E30+$F30-1),2,IF(AND($C30="Jalon",AY$7&gt;=$E30,AY$7&lt;=$E30+$F30-1),1,""))</f>
      </c>
      <c r="AZ30" s="61">
        <f>IF(AND($C30="Objectif",AZ$7&gt;=$E30,AZ$7&lt;=$E30+$F30-1),2,IF(AND($C30="Jalon",AZ$7&gt;=$E30,AZ$7&lt;=$E30+$F30-1),1,""))</f>
      </c>
      <c r="BA30" s="61">
        <f>IF(AND($C30="Objectif",BA$7&gt;=$E30,BA$7&lt;=$E30+$F30-1),2,IF(AND($C30="Jalon",BA$7&gt;=$E30,BA$7&lt;=$E30+$F30-1),1,""))</f>
      </c>
      <c r="BB30" s="61">
        <f>IF(AND($C30="Objectif",BB$7&gt;=$E30,BB$7&lt;=$E30+$F30-1),2,IF(AND($C30="Jalon",BB$7&gt;=$E30,BB$7&lt;=$E30+$F30-1),1,""))</f>
      </c>
      <c r="BC30" s="61">
        <f>IF(AND($C30="Objectif",BC$7&gt;=$E30,BC$7&lt;=$E30+$F30-1),2,IF(AND($C30="Jalon",BC$7&gt;=$E30,BC$7&lt;=$E30+$F30-1),1,""))</f>
      </c>
      <c r="BD30" s="61">
        <f>IF(AND($C30="Objectif",BD$7&gt;=$E30,BD$7&lt;=$E30+$F30-1),2,IF(AND($C30="Jalon",BD$7&gt;=$E30,BD$7&lt;=$E30+$F30-1),1,""))</f>
      </c>
      <c r="BE30" s="61">
        <f>IF(AND($C30="Objectif",BE$7&gt;=$E30,BE$7&lt;=$E30+$F30-1),2,IF(AND($C30="Jalon",BE$7&gt;=$E30,BE$7&lt;=$E30+$F30-1),1,""))</f>
      </c>
      <c r="BF30" s="61">
        <f>IF(AND($C30="Objectif",BF$7&gt;=$E30,BF$7&lt;=$E30+$F30-1),2,IF(AND($C30="Jalon",BF$7&gt;=$E30,BF$7&lt;=$E30+$F30-1),1,""))</f>
      </c>
      <c r="BG30" s="61">
        <f>IF(AND($C30="Objectif",BG$7&gt;=$E30,BG$7&lt;=$E30+$F30-1),2,IF(AND($C30="Jalon",BG$7&gt;=$E30,BG$7&lt;=$E30+$F30-1),1,""))</f>
      </c>
      <c r="BH30" s="61">
        <f>IF(AND($C30="Objectif",BH$7&gt;=$E30,BH$7&lt;=$E30+$F30-1),2,IF(AND($C30="Jalon",BH$7&gt;=$E30,BH$7&lt;=$E30+$F30-1),1,""))</f>
      </c>
      <c r="BI30" s="61">
        <f>IF(AND($C30="Objectif",BI$7&gt;=$E30,BI$7&lt;=$E30+$F30-1),2,IF(AND($C30="Jalon",BI$7&gt;=$E30,BI$7&lt;=$E30+$F30-1),1,""))</f>
      </c>
      <c r="BJ30" s="61">
        <f>IF(AND($C30="Objectif",BJ$7&gt;=$E30,BJ$7&lt;=$E30+$F30-1),2,IF(AND($C30="Jalon",BJ$7&gt;=$E30,BJ$7&lt;=$E30+$F30-1),1,""))</f>
      </c>
      <c r="BK30" s="61">
        <f>IF(AND($C30="Objectif",BK$7&gt;=$E30,BK$7&lt;=$E30+$F30-1),2,IF(AND($C30="Jalon",BK$7&gt;=$E30,BK$7&lt;=$E30+$F30-1),1,""))</f>
      </c>
      <c r="BL30" s="1"/>
      <c r="BM30" s="1"/>
      <c r="BN30" s="1"/>
      <c r="BO30" s="1"/>
    </row>
    <row x14ac:dyDescent="0.25" r="31" customHeight="1" ht="40.2">
      <c r="A31" s="64"/>
      <c r="B31" s="63" t="s">
        <v>38</v>
      </c>
      <c r="C31" s="58" t="s">
        <v>4</v>
      </c>
      <c r="D31" s="59">
        <v>0.1</v>
      </c>
      <c r="E31" s="26">
        <f>E30+F30</f>
        <v>25569.125</v>
      </c>
      <c r="F31" s="58">
        <v>7</v>
      </c>
      <c r="G31" s="60"/>
      <c r="H31" s="61">
        <f>IF(AND($C31="Objectif",H$7&gt;=$E31,H$7&lt;=$E31+$F31-1),2,IF(AND($C31="Jalon",H$7&gt;=$E31,H$7&lt;=$E31+$F31-1),1,""))</f>
      </c>
      <c r="I31" s="61">
        <f>IF(AND($C31="Objectif",I$7&gt;=$E31,I$7&lt;=$E31+$F31-1),2,IF(AND($C31="Jalon",I$7&gt;=$E31,I$7&lt;=$E31+$F31-1),1,""))</f>
      </c>
      <c r="J31" s="61">
        <f>IF(AND($C31="Objectif",J$7&gt;=$E31,J$7&lt;=$E31+$F31-1),2,IF(AND($C31="Jalon",J$7&gt;=$E31,J$7&lt;=$E31+$F31-1),1,""))</f>
      </c>
      <c r="K31" s="61">
        <f>IF(AND($C31="Objectif",K$7&gt;=$E31,K$7&lt;=$E31+$F31-1),2,IF(AND($C31="Jalon",K$7&gt;=$E31,K$7&lt;=$E31+$F31-1),1,""))</f>
      </c>
      <c r="L31" s="61">
        <f>IF(AND($C31="Objectif",L$7&gt;=$E31,L$7&lt;=$E31+$F31-1),2,IF(AND($C31="Jalon",L$7&gt;=$E31,L$7&lt;=$E31+$F31-1),1,""))</f>
      </c>
      <c r="M31" s="61">
        <f>IF(AND($C31="Objectif",M$7&gt;=$E31,M$7&lt;=$E31+$F31-1),2,IF(AND($C31="Jalon",M$7&gt;=$E31,M$7&lt;=$E31+$F31-1),1,""))</f>
      </c>
      <c r="N31" s="61">
        <f>IF(AND($C31="Objectif",N$7&gt;=$E31,N$7&lt;=$E31+$F31-1),2,IF(AND($C31="Jalon",N$7&gt;=$E31,N$7&lt;=$E31+$F31-1),1,""))</f>
      </c>
      <c r="O31" s="61">
        <f>IF(AND($C31="Objectif",O$7&gt;=$E31,O$7&lt;=$E31+$F31-1),2,IF(AND($C31="Jalon",O$7&gt;=$E31,O$7&lt;=$E31+$F31-1),1,""))</f>
      </c>
      <c r="P31" s="61">
        <f>IF(AND($C31="Objectif",P$7&gt;=$E31,P$7&lt;=$E31+$F31-1),2,IF(AND($C31="Jalon",P$7&gt;=$E31,P$7&lt;=$E31+$F31-1),1,""))</f>
      </c>
      <c r="Q31" s="61">
        <f>IF(AND($C31="Objectif",Q$7&gt;=$E31,Q$7&lt;=$E31+$F31-1),2,IF(AND($C31="Jalon",Q$7&gt;=$E31,Q$7&lt;=$E31+$F31-1),1,""))</f>
      </c>
      <c r="R31" s="61">
        <f>IF(AND($C31="Objectif",R$7&gt;=$E31,R$7&lt;=$E31+$F31-1),2,IF(AND($C31="Jalon",R$7&gt;=$E31,R$7&lt;=$E31+$F31-1),1,""))</f>
      </c>
      <c r="S31" s="61">
        <f>IF(AND($C31="Objectif",S$7&gt;=$E31,S$7&lt;=$E31+$F31-1),2,IF(AND($C31="Jalon",S$7&gt;=$E31,S$7&lt;=$E31+$F31-1),1,""))</f>
      </c>
      <c r="T31" s="61">
        <f>IF(AND($C31="Objectif",T$7&gt;=$E31,T$7&lt;=$E31+$F31-1),2,IF(AND($C31="Jalon",T$7&gt;=$E31,T$7&lt;=$E31+$F31-1),1,""))</f>
      </c>
      <c r="U31" s="61">
        <f>IF(AND($C31="Objectif",U$7&gt;=$E31,U$7&lt;=$E31+$F31-1),2,IF(AND($C31="Jalon",U$7&gt;=$E31,U$7&lt;=$E31+$F31-1),1,""))</f>
      </c>
      <c r="V31" s="61">
        <f>IF(AND($C31="Objectif",V$7&gt;=$E31,V$7&lt;=$E31+$F31-1),2,IF(AND($C31="Jalon",V$7&gt;=$E31,V$7&lt;=$E31+$F31-1),1,""))</f>
      </c>
      <c r="W31" s="61">
        <f>IF(AND($C31="Objectif",W$7&gt;=$E31,W$7&lt;=$E31+$F31-1),2,IF(AND($C31="Jalon",W$7&gt;=$E31,W$7&lt;=$E31+$F31-1),1,""))</f>
      </c>
      <c r="X31" s="61">
        <f>IF(AND($C31="Objectif",X$7&gt;=$E31,X$7&lt;=$E31+$F31-1),2,IF(AND($C31="Jalon",X$7&gt;=$E31,X$7&lt;=$E31+$F31-1),1,""))</f>
      </c>
      <c r="Y31" s="61">
        <f>IF(AND($C31="Objectif",Y$7&gt;=$E31,Y$7&lt;=$E31+$F31-1),2,IF(AND($C31="Jalon",Y$7&gt;=$E31,Y$7&lt;=$E31+$F31-1),1,""))</f>
      </c>
      <c r="Z31" s="61">
        <f>IF(AND($C31="Objectif",Z$7&gt;=$E31,Z$7&lt;=$E31+$F31-1),2,IF(AND($C31="Jalon",Z$7&gt;=$E31,Z$7&lt;=$E31+$F31-1),1,""))</f>
      </c>
      <c r="AA31" s="61">
        <f>IF(AND($C31="Objectif",AA$7&gt;=$E31,AA$7&lt;=$E31+$F31-1),2,IF(AND($C31="Jalon",AA$7&gt;=$E31,AA$7&lt;=$E31+$F31-1),1,""))</f>
      </c>
      <c r="AB31" s="61">
        <f>IF(AND($C31="Objectif",AB$7&gt;=$E31,AB$7&lt;=$E31+$F31-1),2,IF(AND($C31="Jalon",AB$7&gt;=$E31,AB$7&lt;=$E31+$F31-1),1,""))</f>
      </c>
      <c r="AC31" s="61">
        <f>IF(AND($C31="Objectif",AC$7&gt;=$E31,AC$7&lt;=$E31+$F31-1),2,IF(AND($C31="Jalon",AC$7&gt;=$E31,AC$7&lt;=$E31+$F31-1),1,""))</f>
      </c>
      <c r="AD31" s="61">
        <f>IF(AND($C31="Objectif",AD$7&gt;=$E31,AD$7&lt;=$E31+$F31-1),2,IF(AND($C31="Jalon",AD$7&gt;=$E31,AD$7&lt;=$E31+$F31-1),1,""))</f>
      </c>
      <c r="AE31" s="61">
        <f>IF(AND($C31="Objectif",AE$7&gt;=$E31,AE$7&lt;=$E31+$F31-1),2,IF(AND($C31="Jalon",AE$7&gt;=$E31,AE$7&lt;=$E31+$F31-1),1,""))</f>
      </c>
      <c r="AF31" s="61">
        <f>IF(AND($C31="Objectif",AF$7&gt;=$E31,AF$7&lt;=$E31+$F31-1),2,IF(AND($C31="Jalon",AF$7&gt;=$E31,AF$7&lt;=$E31+$F31-1),1,""))</f>
      </c>
      <c r="AG31" s="61">
        <f>IF(AND($C31="Objectif",AG$7&gt;=$E31,AG$7&lt;=$E31+$F31-1),2,IF(AND($C31="Jalon",AG$7&gt;=$E31,AG$7&lt;=$E31+$F31-1),1,""))</f>
      </c>
      <c r="AH31" s="61">
        <f>IF(AND($C31="Objectif",AH$7&gt;=$E31,AH$7&lt;=$E31+$F31-1),2,IF(AND($C31="Jalon",AH$7&gt;=$E31,AH$7&lt;=$E31+$F31-1),1,""))</f>
      </c>
      <c r="AI31" s="61">
        <f>IF(AND($C31="Objectif",AI$7&gt;=$E31,AI$7&lt;=$E31+$F31-1),2,IF(AND($C31="Jalon",AI$7&gt;=$E31,AI$7&lt;=$E31+$F31-1),1,""))</f>
      </c>
      <c r="AJ31" s="61">
        <f>IF(AND($C31="Objectif",AJ$7&gt;=$E31,AJ$7&lt;=$E31+$F31-1),2,IF(AND($C31="Jalon",AJ$7&gt;=$E31,AJ$7&lt;=$E31+$F31-1),1,""))</f>
      </c>
      <c r="AK31" s="61">
        <f>IF(AND($C31="Objectif",AK$7&gt;=$E31,AK$7&lt;=$E31+$F31-1),2,IF(AND($C31="Jalon",AK$7&gt;=$E31,AK$7&lt;=$E31+$F31-1),1,""))</f>
      </c>
      <c r="AL31" s="61">
        <f>IF(AND($C31="Objectif",AL$7&gt;=$E31,AL$7&lt;=$E31+$F31-1),2,IF(AND($C31="Jalon",AL$7&gt;=$E31,AL$7&lt;=$E31+$F31-1),1,""))</f>
      </c>
      <c r="AM31" s="61">
        <f>IF(AND($C31="Objectif",AM$7&gt;=$E31,AM$7&lt;=$E31+$F31-1),2,IF(AND($C31="Jalon",AM$7&gt;=$E31,AM$7&lt;=$E31+$F31-1),1,""))</f>
      </c>
      <c r="AN31" s="61">
        <f>IF(AND($C31="Objectif",AN$7&gt;=$E31,AN$7&lt;=$E31+$F31-1),2,IF(AND($C31="Jalon",AN$7&gt;=$E31,AN$7&lt;=$E31+$F31-1),1,""))</f>
      </c>
      <c r="AO31" s="61">
        <f>IF(AND($C31="Objectif",AO$7&gt;=$E31,AO$7&lt;=$E31+$F31-1),2,IF(AND($C31="Jalon",AO$7&gt;=$E31,AO$7&lt;=$E31+$F31-1),1,""))</f>
      </c>
      <c r="AP31" s="61">
        <f>IF(AND($C31="Objectif",AP$7&gt;=$E31,AP$7&lt;=$E31+$F31-1),2,IF(AND($C31="Jalon",AP$7&gt;=$E31,AP$7&lt;=$E31+$F31-1),1,""))</f>
      </c>
      <c r="AQ31" s="61">
        <f>IF(AND($C31="Objectif",AQ$7&gt;=$E31,AQ$7&lt;=$E31+$F31-1),2,IF(AND($C31="Jalon",AQ$7&gt;=$E31,AQ$7&lt;=$E31+$F31-1),1,""))</f>
      </c>
      <c r="AR31" s="61">
        <f>IF(AND($C31="Objectif",AR$7&gt;=$E31,AR$7&lt;=$E31+$F31-1),2,IF(AND($C31="Jalon",AR$7&gt;=$E31,AR$7&lt;=$E31+$F31-1),1,""))</f>
      </c>
      <c r="AS31" s="61">
        <f>IF(AND($C31="Objectif",AS$7&gt;=$E31,AS$7&lt;=$E31+$F31-1),2,IF(AND($C31="Jalon",AS$7&gt;=$E31,AS$7&lt;=$E31+$F31-1),1,""))</f>
      </c>
      <c r="AT31" s="61">
        <f>IF(AND($C31="Objectif",AT$7&gt;=$E31,AT$7&lt;=$E31+$F31-1),2,IF(AND($C31="Jalon",AT$7&gt;=$E31,AT$7&lt;=$E31+$F31-1),1,""))</f>
      </c>
      <c r="AU31" s="61">
        <f>IF(AND($C31="Objectif",AU$7&gt;=$E31,AU$7&lt;=$E31+$F31-1),2,IF(AND($C31="Jalon",AU$7&gt;=$E31,AU$7&lt;=$E31+$F31-1),1,""))</f>
      </c>
      <c r="AV31" s="61">
        <f>IF(AND($C31="Objectif",AV$7&gt;=$E31,AV$7&lt;=$E31+$F31-1),2,IF(AND($C31="Jalon",AV$7&gt;=$E31,AV$7&lt;=$E31+$F31-1),1,""))</f>
      </c>
      <c r="AW31" s="61">
        <f>IF(AND($C31="Objectif",AW$7&gt;=$E31,AW$7&lt;=$E31+$F31-1),2,IF(AND($C31="Jalon",AW$7&gt;=$E31,AW$7&lt;=$E31+$F31-1),1,""))</f>
      </c>
      <c r="AX31" s="61">
        <f>IF(AND($C31="Objectif",AX$7&gt;=$E31,AX$7&lt;=$E31+$F31-1),2,IF(AND($C31="Jalon",AX$7&gt;=$E31,AX$7&lt;=$E31+$F31-1),1,""))</f>
      </c>
      <c r="AY31" s="61">
        <f>IF(AND($C31="Objectif",AY$7&gt;=$E31,AY$7&lt;=$E31+$F31-1),2,IF(AND($C31="Jalon",AY$7&gt;=$E31,AY$7&lt;=$E31+$F31-1),1,""))</f>
      </c>
      <c r="AZ31" s="61">
        <f>IF(AND($C31="Objectif",AZ$7&gt;=$E31,AZ$7&lt;=$E31+$F31-1),2,IF(AND($C31="Jalon",AZ$7&gt;=$E31,AZ$7&lt;=$E31+$F31-1),1,""))</f>
      </c>
      <c r="BA31" s="61">
        <f>IF(AND($C31="Objectif",BA$7&gt;=$E31,BA$7&lt;=$E31+$F31-1),2,IF(AND($C31="Jalon",BA$7&gt;=$E31,BA$7&lt;=$E31+$F31-1),1,""))</f>
      </c>
      <c r="BB31" s="61">
        <f>IF(AND($C31="Objectif",BB$7&gt;=$E31,BB$7&lt;=$E31+$F31-1),2,IF(AND($C31="Jalon",BB$7&gt;=$E31,BB$7&lt;=$E31+$F31-1),1,""))</f>
      </c>
      <c r="BC31" s="61">
        <f>IF(AND($C31="Objectif",BC$7&gt;=$E31,BC$7&lt;=$E31+$F31-1),2,IF(AND($C31="Jalon",BC$7&gt;=$E31,BC$7&lt;=$E31+$F31-1),1,""))</f>
      </c>
      <c r="BD31" s="61">
        <f>IF(AND($C31="Objectif",BD$7&gt;=$E31,BD$7&lt;=$E31+$F31-1),2,IF(AND($C31="Jalon",BD$7&gt;=$E31,BD$7&lt;=$E31+$F31-1),1,""))</f>
      </c>
      <c r="BE31" s="61">
        <f>IF(AND($C31="Objectif",BE$7&gt;=$E31,BE$7&lt;=$E31+$F31-1),2,IF(AND($C31="Jalon",BE$7&gt;=$E31,BE$7&lt;=$E31+$F31-1),1,""))</f>
      </c>
      <c r="BF31" s="61">
        <f>IF(AND($C31="Objectif",BF$7&gt;=$E31,BF$7&lt;=$E31+$F31-1),2,IF(AND($C31="Jalon",BF$7&gt;=$E31,BF$7&lt;=$E31+$F31-1),1,""))</f>
      </c>
      <c r="BG31" s="61">
        <f>IF(AND($C31="Objectif",BG$7&gt;=$E31,BG$7&lt;=$E31+$F31-1),2,IF(AND($C31="Jalon",BG$7&gt;=$E31,BG$7&lt;=$E31+$F31-1),1,""))</f>
      </c>
      <c r="BH31" s="61">
        <f>IF(AND($C31="Objectif",BH$7&gt;=$E31,BH$7&lt;=$E31+$F31-1),2,IF(AND($C31="Jalon",BH$7&gt;=$E31,BH$7&lt;=$E31+$F31-1),1,""))</f>
      </c>
      <c r="BI31" s="61">
        <f>IF(AND($C31="Objectif",BI$7&gt;=$E31,BI$7&lt;=$E31+$F31-1),2,IF(AND($C31="Jalon",BI$7&gt;=$E31,BI$7&lt;=$E31+$F31-1),1,""))</f>
      </c>
      <c r="BJ31" s="61">
        <f>IF(AND($C31="Objectif",BJ$7&gt;=$E31,BJ$7&lt;=$E31+$F31-1),2,IF(AND($C31="Jalon",BJ$7&gt;=$E31,BJ$7&lt;=$E31+$F31-1),1,""))</f>
      </c>
      <c r="BK31" s="61">
        <f>IF(AND($C31="Objectif",BK$7&gt;=$E31,BK$7&lt;=$E31+$F31-1),2,IF(AND($C31="Jalon",BK$7&gt;=$E31,BK$7&lt;=$E31+$F31-1),1,""))</f>
      </c>
      <c r="BL31" s="1"/>
      <c r="BM31" s="1"/>
      <c r="BN31" s="1"/>
      <c r="BO31" s="1"/>
    </row>
    <row x14ac:dyDescent="0.25" r="32" customHeight="1" ht="40.2">
      <c r="A32" s="64"/>
      <c r="B32" s="63" t="s">
        <v>39</v>
      </c>
      <c r="C32" s="58" t="s">
        <v>3</v>
      </c>
      <c r="D32" s="59">
        <v>0.05</v>
      </c>
      <c r="E32" s="26">
        <f>E31+F31</f>
        <v>25569.125</v>
      </c>
      <c r="F32" s="58">
        <v>5</v>
      </c>
      <c r="G32" s="60"/>
      <c r="H32" s="61">
        <f>IF(AND($C32="Objectif",H$7&gt;=$E32,H$7&lt;=$E32+$F32-1),2,IF(AND($C32="Jalon",H$7&gt;=$E32,H$7&lt;=$E32+$F32-1),1,""))</f>
      </c>
      <c r="I32" s="61">
        <f>IF(AND($C32="Objectif",I$7&gt;=$E32,I$7&lt;=$E32+$F32-1),2,IF(AND($C32="Jalon",I$7&gt;=$E32,I$7&lt;=$E32+$F32-1),1,""))</f>
      </c>
      <c r="J32" s="61">
        <f>IF(AND($C32="Objectif",J$7&gt;=$E32,J$7&lt;=$E32+$F32-1),2,IF(AND($C32="Jalon",J$7&gt;=$E32,J$7&lt;=$E32+$F32-1),1,""))</f>
      </c>
      <c r="K32" s="61">
        <f>IF(AND($C32="Objectif",K$7&gt;=$E32,K$7&lt;=$E32+$F32-1),2,IF(AND($C32="Jalon",K$7&gt;=$E32,K$7&lt;=$E32+$F32-1),1,""))</f>
      </c>
      <c r="L32" s="61">
        <f>IF(AND($C32="Objectif",L$7&gt;=$E32,L$7&lt;=$E32+$F32-1),2,IF(AND($C32="Jalon",L$7&gt;=$E32,L$7&lt;=$E32+$F32-1),1,""))</f>
      </c>
      <c r="M32" s="61">
        <f>IF(AND($C32="Objectif",M$7&gt;=$E32,M$7&lt;=$E32+$F32-1),2,IF(AND($C32="Jalon",M$7&gt;=$E32,M$7&lt;=$E32+$F32-1),1,""))</f>
      </c>
      <c r="N32" s="61">
        <f>IF(AND($C32="Objectif",N$7&gt;=$E32,N$7&lt;=$E32+$F32-1),2,IF(AND($C32="Jalon",N$7&gt;=$E32,N$7&lt;=$E32+$F32-1),1,""))</f>
      </c>
      <c r="O32" s="61">
        <f>IF(AND($C32="Objectif",O$7&gt;=$E32,O$7&lt;=$E32+$F32-1),2,IF(AND($C32="Jalon",O$7&gt;=$E32,O$7&lt;=$E32+$F32-1),1,""))</f>
      </c>
      <c r="P32" s="61">
        <f>IF(AND($C32="Objectif",P$7&gt;=$E32,P$7&lt;=$E32+$F32-1),2,IF(AND($C32="Jalon",P$7&gt;=$E32,P$7&lt;=$E32+$F32-1),1,""))</f>
      </c>
      <c r="Q32" s="61">
        <f>IF(AND($C32="Objectif",Q$7&gt;=$E32,Q$7&lt;=$E32+$F32-1),2,IF(AND($C32="Jalon",Q$7&gt;=$E32,Q$7&lt;=$E32+$F32-1),1,""))</f>
      </c>
      <c r="R32" s="61">
        <f>IF(AND($C32="Objectif",R$7&gt;=$E32,R$7&lt;=$E32+$F32-1),2,IF(AND($C32="Jalon",R$7&gt;=$E32,R$7&lt;=$E32+$F32-1),1,""))</f>
      </c>
      <c r="S32" s="61">
        <f>IF(AND($C32="Objectif",S$7&gt;=$E32,S$7&lt;=$E32+$F32-1),2,IF(AND($C32="Jalon",S$7&gt;=$E32,S$7&lt;=$E32+$F32-1),1,""))</f>
      </c>
      <c r="T32" s="61">
        <f>IF(AND($C32="Objectif",T$7&gt;=$E32,T$7&lt;=$E32+$F32-1),2,IF(AND($C32="Jalon",T$7&gt;=$E32,T$7&lt;=$E32+$F32-1),1,""))</f>
      </c>
      <c r="U32" s="61">
        <f>IF(AND($C32="Objectif",U$7&gt;=$E32,U$7&lt;=$E32+$F32-1),2,IF(AND($C32="Jalon",U$7&gt;=$E32,U$7&lt;=$E32+$F32-1),1,""))</f>
      </c>
      <c r="V32" s="61">
        <f>IF(AND($C32="Objectif",V$7&gt;=$E32,V$7&lt;=$E32+$F32-1),2,IF(AND($C32="Jalon",V$7&gt;=$E32,V$7&lt;=$E32+$F32-1),1,""))</f>
      </c>
      <c r="W32" s="61">
        <f>IF(AND($C32="Objectif",W$7&gt;=$E32,W$7&lt;=$E32+$F32-1),2,IF(AND($C32="Jalon",W$7&gt;=$E32,W$7&lt;=$E32+$F32-1),1,""))</f>
      </c>
      <c r="X32" s="61">
        <f>IF(AND($C32="Objectif",X$7&gt;=$E32,X$7&lt;=$E32+$F32-1),2,IF(AND($C32="Jalon",X$7&gt;=$E32,X$7&lt;=$E32+$F32-1),1,""))</f>
      </c>
      <c r="Y32" s="61">
        <f>IF(AND($C32="Objectif",Y$7&gt;=$E32,Y$7&lt;=$E32+$F32-1),2,IF(AND($C32="Jalon",Y$7&gt;=$E32,Y$7&lt;=$E32+$F32-1),1,""))</f>
      </c>
      <c r="Z32" s="61">
        <f>IF(AND($C32="Objectif",Z$7&gt;=$E32,Z$7&lt;=$E32+$F32-1),2,IF(AND($C32="Jalon",Z$7&gt;=$E32,Z$7&lt;=$E32+$F32-1),1,""))</f>
      </c>
      <c r="AA32" s="61">
        <f>IF(AND($C32="Objectif",AA$7&gt;=$E32,AA$7&lt;=$E32+$F32-1),2,IF(AND($C32="Jalon",AA$7&gt;=$E32,AA$7&lt;=$E32+$F32-1),1,""))</f>
      </c>
      <c r="AB32" s="61">
        <f>IF(AND($C32="Objectif",AB$7&gt;=$E32,AB$7&lt;=$E32+$F32-1),2,IF(AND($C32="Jalon",AB$7&gt;=$E32,AB$7&lt;=$E32+$F32-1),1,""))</f>
      </c>
      <c r="AC32" s="61">
        <f>IF(AND($C32="Objectif",AC$7&gt;=$E32,AC$7&lt;=$E32+$F32-1),2,IF(AND($C32="Jalon",AC$7&gt;=$E32,AC$7&lt;=$E32+$F32-1),1,""))</f>
      </c>
      <c r="AD32" s="61">
        <f>IF(AND($C32="Objectif",AD$7&gt;=$E32,AD$7&lt;=$E32+$F32-1),2,IF(AND($C32="Jalon",AD$7&gt;=$E32,AD$7&lt;=$E32+$F32-1),1,""))</f>
      </c>
      <c r="AE32" s="61">
        <f>IF(AND($C32="Objectif",AE$7&gt;=$E32,AE$7&lt;=$E32+$F32-1),2,IF(AND($C32="Jalon",AE$7&gt;=$E32,AE$7&lt;=$E32+$F32-1),1,""))</f>
      </c>
      <c r="AF32" s="61">
        <f>IF(AND($C32="Objectif",AF$7&gt;=$E32,AF$7&lt;=$E32+$F32-1),2,IF(AND($C32="Jalon",AF$7&gt;=$E32,AF$7&lt;=$E32+$F32-1),1,""))</f>
      </c>
      <c r="AG32" s="61">
        <f>IF(AND($C32="Objectif",AG$7&gt;=$E32,AG$7&lt;=$E32+$F32-1),2,IF(AND($C32="Jalon",AG$7&gt;=$E32,AG$7&lt;=$E32+$F32-1),1,""))</f>
      </c>
      <c r="AH32" s="61">
        <f>IF(AND($C32="Objectif",AH$7&gt;=$E32,AH$7&lt;=$E32+$F32-1),2,IF(AND($C32="Jalon",AH$7&gt;=$E32,AH$7&lt;=$E32+$F32-1),1,""))</f>
      </c>
      <c r="AI32" s="61">
        <f>IF(AND($C32="Objectif",AI$7&gt;=$E32,AI$7&lt;=$E32+$F32-1),2,IF(AND($C32="Jalon",AI$7&gt;=$E32,AI$7&lt;=$E32+$F32-1),1,""))</f>
      </c>
      <c r="AJ32" s="61">
        <f>IF(AND($C32="Objectif",AJ$7&gt;=$E32,AJ$7&lt;=$E32+$F32-1),2,IF(AND($C32="Jalon",AJ$7&gt;=$E32,AJ$7&lt;=$E32+$F32-1),1,""))</f>
      </c>
      <c r="AK32" s="61">
        <f>IF(AND($C32="Objectif",AK$7&gt;=$E32,AK$7&lt;=$E32+$F32-1),2,IF(AND($C32="Jalon",AK$7&gt;=$E32,AK$7&lt;=$E32+$F32-1),1,""))</f>
      </c>
      <c r="AL32" s="61">
        <f>IF(AND($C32="Objectif",AL$7&gt;=$E32,AL$7&lt;=$E32+$F32-1),2,IF(AND($C32="Jalon",AL$7&gt;=$E32,AL$7&lt;=$E32+$F32-1),1,""))</f>
      </c>
      <c r="AM32" s="61">
        <f>IF(AND($C32="Objectif",AM$7&gt;=$E32,AM$7&lt;=$E32+$F32-1),2,IF(AND($C32="Jalon",AM$7&gt;=$E32,AM$7&lt;=$E32+$F32-1),1,""))</f>
      </c>
      <c r="AN32" s="61">
        <f>IF(AND($C32="Objectif",AN$7&gt;=$E32,AN$7&lt;=$E32+$F32-1),2,IF(AND($C32="Jalon",AN$7&gt;=$E32,AN$7&lt;=$E32+$F32-1),1,""))</f>
      </c>
      <c r="AO32" s="61">
        <f>IF(AND($C32="Objectif",AO$7&gt;=$E32,AO$7&lt;=$E32+$F32-1),2,IF(AND($C32="Jalon",AO$7&gt;=$E32,AO$7&lt;=$E32+$F32-1),1,""))</f>
      </c>
      <c r="AP32" s="61">
        <f>IF(AND($C32="Objectif",AP$7&gt;=$E32,AP$7&lt;=$E32+$F32-1),2,IF(AND($C32="Jalon",AP$7&gt;=$E32,AP$7&lt;=$E32+$F32-1),1,""))</f>
      </c>
      <c r="AQ32" s="61">
        <f>IF(AND($C32="Objectif",AQ$7&gt;=$E32,AQ$7&lt;=$E32+$F32-1),2,IF(AND($C32="Jalon",AQ$7&gt;=$E32,AQ$7&lt;=$E32+$F32-1),1,""))</f>
      </c>
      <c r="AR32" s="61">
        <f>IF(AND($C32="Objectif",AR$7&gt;=$E32,AR$7&lt;=$E32+$F32-1),2,IF(AND($C32="Jalon",AR$7&gt;=$E32,AR$7&lt;=$E32+$F32-1),1,""))</f>
      </c>
      <c r="AS32" s="61">
        <f>IF(AND($C32="Objectif",AS$7&gt;=$E32,AS$7&lt;=$E32+$F32-1),2,IF(AND($C32="Jalon",AS$7&gt;=$E32,AS$7&lt;=$E32+$F32-1),1,""))</f>
      </c>
      <c r="AT32" s="61">
        <f>IF(AND($C32="Objectif",AT$7&gt;=$E32,AT$7&lt;=$E32+$F32-1),2,IF(AND($C32="Jalon",AT$7&gt;=$E32,AT$7&lt;=$E32+$F32-1),1,""))</f>
      </c>
      <c r="AU32" s="61">
        <f>IF(AND($C32="Objectif",AU$7&gt;=$E32,AU$7&lt;=$E32+$F32-1),2,IF(AND($C32="Jalon",AU$7&gt;=$E32,AU$7&lt;=$E32+$F32-1),1,""))</f>
      </c>
      <c r="AV32" s="61">
        <f>IF(AND($C32="Objectif",AV$7&gt;=$E32,AV$7&lt;=$E32+$F32-1),2,IF(AND($C32="Jalon",AV$7&gt;=$E32,AV$7&lt;=$E32+$F32-1),1,""))</f>
      </c>
      <c r="AW32" s="61">
        <f>IF(AND($C32="Objectif",AW$7&gt;=$E32,AW$7&lt;=$E32+$F32-1),2,IF(AND($C32="Jalon",AW$7&gt;=$E32,AW$7&lt;=$E32+$F32-1),1,""))</f>
      </c>
      <c r="AX32" s="61">
        <f>IF(AND($C32="Objectif",AX$7&gt;=$E32,AX$7&lt;=$E32+$F32-1),2,IF(AND($C32="Jalon",AX$7&gt;=$E32,AX$7&lt;=$E32+$F32-1),1,""))</f>
      </c>
      <c r="AY32" s="61">
        <f>IF(AND($C32="Objectif",AY$7&gt;=$E32,AY$7&lt;=$E32+$F32-1),2,IF(AND($C32="Jalon",AY$7&gt;=$E32,AY$7&lt;=$E32+$F32-1),1,""))</f>
      </c>
      <c r="AZ32" s="61">
        <f>IF(AND($C32="Objectif",AZ$7&gt;=$E32,AZ$7&lt;=$E32+$F32-1),2,IF(AND($C32="Jalon",AZ$7&gt;=$E32,AZ$7&lt;=$E32+$F32-1),1,""))</f>
      </c>
      <c r="BA32" s="61">
        <f>IF(AND($C32="Objectif",BA$7&gt;=$E32,BA$7&lt;=$E32+$F32-1),2,IF(AND($C32="Jalon",BA$7&gt;=$E32,BA$7&lt;=$E32+$F32-1),1,""))</f>
      </c>
      <c r="BB32" s="61">
        <f>IF(AND($C32="Objectif",BB$7&gt;=$E32,BB$7&lt;=$E32+$F32-1),2,IF(AND($C32="Jalon",BB$7&gt;=$E32,BB$7&lt;=$E32+$F32-1),1,""))</f>
      </c>
      <c r="BC32" s="61">
        <f>IF(AND($C32="Objectif",BC$7&gt;=$E32,BC$7&lt;=$E32+$F32-1),2,IF(AND($C32="Jalon",BC$7&gt;=$E32,BC$7&lt;=$E32+$F32-1),1,""))</f>
      </c>
      <c r="BD32" s="61">
        <f>IF(AND($C32="Objectif",BD$7&gt;=$E32,BD$7&lt;=$E32+$F32-1),2,IF(AND($C32="Jalon",BD$7&gt;=$E32,BD$7&lt;=$E32+$F32-1),1,""))</f>
      </c>
      <c r="BE32" s="61">
        <f>IF(AND($C32="Objectif",BE$7&gt;=$E32,BE$7&lt;=$E32+$F32-1),2,IF(AND($C32="Jalon",BE$7&gt;=$E32,BE$7&lt;=$E32+$F32-1),1,""))</f>
      </c>
      <c r="BF32" s="61">
        <f>IF(AND($C32="Objectif",BF$7&gt;=$E32,BF$7&lt;=$E32+$F32-1),2,IF(AND($C32="Jalon",BF$7&gt;=$E32,BF$7&lt;=$E32+$F32-1),1,""))</f>
      </c>
      <c r="BG32" s="61">
        <f>IF(AND($C32="Objectif",BG$7&gt;=$E32,BG$7&lt;=$E32+$F32-1),2,IF(AND($C32="Jalon",BG$7&gt;=$E32,BG$7&lt;=$E32+$F32-1),1,""))</f>
      </c>
      <c r="BH32" s="61">
        <f>IF(AND($C32="Objectif",BH$7&gt;=$E32,BH$7&lt;=$E32+$F32-1),2,IF(AND($C32="Jalon",BH$7&gt;=$E32,BH$7&lt;=$E32+$F32-1),1,""))</f>
      </c>
      <c r="BI32" s="61">
        <f>IF(AND($C32="Objectif",BI$7&gt;=$E32,BI$7&lt;=$E32+$F32-1),2,IF(AND($C32="Jalon",BI$7&gt;=$E32,BI$7&lt;=$E32+$F32-1),1,""))</f>
      </c>
      <c r="BJ32" s="61">
        <f>IF(AND($C32="Objectif",BJ$7&gt;=$E32,BJ$7&lt;=$E32+$F32-1),2,IF(AND($C32="Jalon",BJ$7&gt;=$E32,BJ$7&lt;=$E32+$F32-1),1,""))</f>
      </c>
      <c r="BK32" s="61">
        <f>IF(AND($C32="Objectif",BK$7&gt;=$E32,BK$7&lt;=$E32+$F32-1),2,IF(AND($C32="Jalon",BK$7&gt;=$E32,BK$7&lt;=$E32+$F32-1),1,""))</f>
      </c>
      <c r="BL32" s="1"/>
      <c r="BM32" s="1"/>
      <c r="BN32" s="1"/>
      <c r="BO32" s="1"/>
    </row>
    <row x14ac:dyDescent="0.25" r="33" customHeight="1" ht="40.2">
      <c r="A33" s="64"/>
      <c r="B33" s="63" t="s">
        <v>40</v>
      </c>
      <c r="C33" s="58" t="s">
        <v>23</v>
      </c>
      <c r="D33" s="59">
        <v>0</v>
      </c>
      <c r="E33" s="26">
        <f>E32+F32</f>
        <v>25569.125</v>
      </c>
      <c r="F33" s="58">
        <v>1</v>
      </c>
      <c r="G33" s="60"/>
      <c r="H33" s="61">
        <f>IF(AND($C33="Objectif",H$7&gt;=$E33,H$7&lt;=$E33+$F33-1),2,IF(AND($C33="Jalon",H$7&gt;=$E33,H$7&lt;=$E33+$F33-1),1,""))</f>
      </c>
      <c r="I33" s="61">
        <f>IF(AND($C33="Objectif",I$7&gt;=$E33,I$7&lt;=$E33+$F33-1),2,IF(AND($C33="Jalon",I$7&gt;=$E33,I$7&lt;=$E33+$F33-1),1,""))</f>
      </c>
      <c r="J33" s="61">
        <f>IF(AND($C33="Objectif",J$7&gt;=$E33,J$7&lt;=$E33+$F33-1),2,IF(AND($C33="Jalon",J$7&gt;=$E33,J$7&lt;=$E33+$F33-1),1,""))</f>
      </c>
      <c r="K33" s="61">
        <f>IF(AND($C33="Objectif",K$7&gt;=$E33,K$7&lt;=$E33+$F33-1),2,IF(AND($C33="Jalon",K$7&gt;=$E33,K$7&lt;=$E33+$F33-1),1,""))</f>
      </c>
      <c r="L33" s="61">
        <f>IF(AND($C33="Objectif",L$7&gt;=$E33,L$7&lt;=$E33+$F33-1),2,IF(AND($C33="Jalon",L$7&gt;=$E33,L$7&lt;=$E33+$F33-1),1,""))</f>
      </c>
      <c r="M33" s="61">
        <f>IF(AND($C33="Objectif",M$7&gt;=$E33,M$7&lt;=$E33+$F33-1),2,IF(AND($C33="Jalon",M$7&gt;=$E33,M$7&lt;=$E33+$F33-1),1,""))</f>
      </c>
      <c r="N33" s="61">
        <f>IF(AND($C33="Objectif",N$7&gt;=$E33,N$7&lt;=$E33+$F33-1),2,IF(AND($C33="Jalon",N$7&gt;=$E33,N$7&lt;=$E33+$F33-1),1,""))</f>
      </c>
      <c r="O33" s="61">
        <f>IF(AND($C33="Objectif",O$7&gt;=$E33,O$7&lt;=$E33+$F33-1),2,IF(AND($C33="Jalon",O$7&gt;=$E33,O$7&lt;=$E33+$F33-1),1,""))</f>
      </c>
      <c r="P33" s="61">
        <f>IF(AND($C33="Objectif",P$7&gt;=$E33,P$7&lt;=$E33+$F33-1),2,IF(AND($C33="Jalon",P$7&gt;=$E33,P$7&lt;=$E33+$F33-1),1,""))</f>
      </c>
      <c r="Q33" s="61">
        <f>IF(AND($C33="Objectif",Q$7&gt;=$E33,Q$7&lt;=$E33+$F33-1),2,IF(AND($C33="Jalon",Q$7&gt;=$E33,Q$7&lt;=$E33+$F33-1),1,""))</f>
      </c>
      <c r="R33" s="61">
        <f>IF(AND($C33="Objectif",R$7&gt;=$E33,R$7&lt;=$E33+$F33-1),2,IF(AND($C33="Jalon",R$7&gt;=$E33,R$7&lt;=$E33+$F33-1),1,""))</f>
      </c>
      <c r="S33" s="61">
        <f>IF(AND($C33="Objectif",S$7&gt;=$E33,S$7&lt;=$E33+$F33-1),2,IF(AND($C33="Jalon",S$7&gt;=$E33,S$7&lt;=$E33+$F33-1),1,""))</f>
      </c>
      <c r="T33" s="61">
        <f>IF(AND($C33="Objectif",T$7&gt;=$E33,T$7&lt;=$E33+$F33-1),2,IF(AND($C33="Jalon",T$7&gt;=$E33,T$7&lt;=$E33+$F33-1),1,""))</f>
      </c>
      <c r="U33" s="61">
        <f>IF(AND($C33="Objectif",U$7&gt;=$E33,U$7&lt;=$E33+$F33-1),2,IF(AND($C33="Jalon",U$7&gt;=$E33,U$7&lt;=$E33+$F33-1),1,""))</f>
      </c>
      <c r="V33" s="61">
        <f>IF(AND($C33="Objectif",V$7&gt;=$E33,V$7&lt;=$E33+$F33-1),2,IF(AND($C33="Jalon",V$7&gt;=$E33,V$7&lt;=$E33+$F33-1),1,""))</f>
      </c>
      <c r="W33" s="61">
        <f>IF(AND($C33="Objectif",W$7&gt;=$E33,W$7&lt;=$E33+$F33-1),2,IF(AND($C33="Jalon",W$7&gt;=$E33,W$7&lt;=$E33+$F33-1),1,""))</f>
      </c>
      <c r="X33" s="61">
        <f>IF(AND($C33="Objectif",X$7&gt;=$E33,X$7&lt;=$E33+$F33-1),2,IF(AND($C33="Jalon",X$7&gt;=$E33,X$7&lt;=$E33+$F33-1),1,""))</f>
      </c>
      <c r="Y33" s="61">
        <f>IF(AND($C33="Objectif",Y$7&gt;=$E33,Y$7&lt;=$E33+$F33-1),2,IF(AND($C33="Jalon",Y$7&gt;=$E33,Y$7&lt;=$E33+$F33-1),1,""))</f>
      </c>
      <c r="Z33" s="61">
        <f>IF(AND($C33="Objectif",Z$7&gt;=$E33,Z$7&lt;=$E33+$F33-1),2,IF(AND($C33="Jalon",Z$7&gt;=$E33,Z$7&lt;=$E33+$F33-1),1,""))</f>
      </c>
      <c r="AA33" s="61">
        <f>IF(AND($C33="Objectif",AA$7&gt;=$E33,AA$7&lt;=$E33+$F33-1),2,IF(AND($C33="Jalon",AA$7&gt;=$E33,AA$7&lt;=$E33+$F33-1),1,""))</f>
      </c>
      <c r="AB33" s="61">
        <f>IF(AND($C33="Objectif",AB$7&gt;=$E33,AB$7&lt;=$E33+$F33-1),2,IF(AND($C33="Jalon",AB$7&gt;=$E33,AB$7&lt;=$E33+$F33-1),1,""))</f>
      </c>
      <c r="AC33" s="61">
        <f>IF(AND($C33="Objectif",AC$7&gt;=$E33,AC$7&lt;=$E33+$F33-1),2,IF(AND($C33="Jalon",AC$7&gt;=$E33,AC$7&lt;=$E33+$F33-1),1,""))</f>
      </c>
      <c r="AD33" s="61">
        <f>IF(AND($C33="Objectif",AD$7&gt;=$E33,AD$7&lt;=$E33+$F33-1),2,IF(AND($C33="Jalon",AD$7&gt;=$E33,AD$7&lt;=$E33+$F33-1),1,""))</f>
      </c>
      <c r="AE33" s="61">
        <f>IF(AND($C33="Objectif",AE$7&gt;=$E33,AE$7&lt;=$E33+$F33-1),2,IF(AND($C33="Jalon",AE$7&gt;=$E33,AE$7&lt;=$E33+$F33-1),1,""))</f>
      </c>
      <c r="AF33" s="61">
        <f>IF(AND($C33="Objectif",AF$7&gt;=$E33,AF$7&lt;=$E33+$F33-1),2,IF(AND($C33="Jalon",AF$7&gt;=$E33,AF$7&lt;=$E33+$F33-1),1,""))</f>
      </c>
      <c r="AG33" s="61">
        <f>IF(AND($C33="Objectif",AG$7&gt;=$E33,AG$7&lt;=$E33+$F33-1),2,IF(AND($C33="Jalon",AG$7&gt;=$E33,AG$7&lt;=$E33+$F33-1),1,""))</f>
      </c>
      <c r="AH33" s="61">
        <f>IF(AND($C33="Objectif",AH$7&gt;=$E33,AH$7&lt;=$E33+$F33-1),2,IF(AND($C33="Jalon",AH$7&gt;=$E33,AH$7&lt;=$E33+$F33-1),1,""))</f>
      </c>
      <c r="AI33" s="61">
        <f>IF(AND($C33="Objectif",AI$7&gt;=$E33,AI$7&lt;=$E33+$F33-1),2,IF(AND($C33="Jalon",AI$7&gt;=$E33,AI$7&lt;=$E33+$F33-1),1,""))</f>
      </c>
      <c r="AJ33" s="61">
        <f>IF(AND($C33="Objectif",AJ$7&gt;=$E33,AJ$7&lt;=$E33+$F33-1),2,IF(AND($C33="Jalon",AJ$7&gt;=$E33,AJ$7&lt;=$E33+$F33-1),1,""))</f>
      </c>
      <c r="AK33" s="61">
        <f>IF(AND($C33="Objectif",AK$7&gt;=$E33,AK$7&lt;=$E33+$F33-1),2,IF(AND($C33="Jalon",AK$7&gt;=$E33,AK$7&lt;=$E33+$F33-1),1,""))</f>
      </c>
      <c r="AL33" s="61">
        <f>IF(AND($C33="Objectif",AL$7&gt;=$E33,AL$7&lt;=$E33+$F33-1),2,IF(AND($C33="Jalon",AL$7&gt;=$E33,AL$7&lt;=$E33+$F33-1),1,""))</f>
      </c>
      <c r="AM33" s="61">
        <f>IF(AND($C33="Objectif",AM$7&gt;=$E33,AM$7&lt;=$E33+$F33-1),2,IF(AND($C33="Jalon",AM$7&gt;=$E33,AM$7&lt;=$E33+$F33-1),1,""))</f>
      </c>
      <c r="AN33" s="61">
        <f>IF(AND($C33="Objectif",AN$7&gt;=$E33,AN$7&lt;=$E33+$F33-1),2,IF(AND($C33="Jalon",AN$7&gt;=$E33,AN$7&lt;=$E33+$F33-1),1,""))</f>
      </c>
      <c r="AO33" s="61">
        <f>IF(AND($C33="Objectif",AO$7&gt;=$E33,AO$7&lt;=$E33+$F33-1),2,IF(AND($C33="Jalon",AO$7&gt;=$E33,AO$7&lt;=$E33+$F33-1),1,""))</f>
      </c>
      <c r="AP33" s="61">
        <f>IF(AND($C33="Objectif",AP$7&gt;=$E33,AP$7&lt;=$E33+$F33-1),2,IF(AND($C33="Jalon",AP$7&gt;=$E33,AP$7&lt;=$E33+$F33-1),1,""))</f>
      </c>
      <c r="AQ33" s="61">
        <f>IF(AND($C33="Objectif",AQ$7&gt;=$E33,AQ$7&lt;=$E33+$F33-1),2,IF(AND($C33="Jalon",AQ$7&gt;=$E33,AQ$7&lt;=$E33+$F33-1),1,""))</f>
      </c>
      <c r="AR33" s="61">
        <f>IF(AND($C33="Objectif",AR$7&gt;=$E33,AR$7&lt;=$E33+$F33-1),2,IF(AND($C33="Jalon",AR$7&gt;=$E33,AR$7&lt;=$E33+$F33-1),1,""))</f>
      </c>
      <c r="AS33" s="61">
        <f>IF(AND($C33="Objectif",AS$7&gt;=$E33,AS$7&lt;=$E33+$F33-1),2,IF(AND($C33="Jalon",AS$7&gt;=$E33,AS$7&lt;=$E33+$F33-1),1,""))</f>
      </c>
      <c r="AT33" s="61">
        <f>IF(AND($C33="Objectif",AT$7&gt;=$E33,AT$7&lt;=$E33+$F33-1),2,IF(AND($C33="Jalon",AT$7&gt;=$E33,AT$7&lt;=$E33+$F33-1),1,""))</f>
      </c>
      <c r="AU33" s="61">
        <f>IF(AND($C33="Objectif",AU$7&gt;=$E33,AU$7&lt;=$E33+$F33-1),2,IF(AND($C33="Jalon",AU$7&gt;=$E33,AU$7&lt;=$E33+$F33-1),1,""))</f>
      </c>
      <c r="AV33" s="61">
        <f>IF(AND($C33="Objectif",AV$7&gt;=$E33,AV$7&lt;=$E33+$F33-1),2,IF(AND($C33="Jalon",AV$7&gt;=$E33,AV$7&lt;=$E33+$F33-1),1,""))</f>
      </c>
      <c r="AW33" s="61">
        <f>IF(AND($C33="Objectif",AW$7&gt;=$E33,AW$7&lt;=$E33+$F33-1),2,IF(AND($C33="Jalon",AW$7&gt;=$E33,AW$7&lt;=$E33+$F33-1),1,""))</f>
      </c>
      <c r="AX33" s="61">
        <f>IF(AND($C33="Objectif",AX$7&gt;=$E33,AX$7&lt;=$E33+$F33-1),2,IF(AND($C33="Jalon",AX$7&gt;=$E33,AX$7&lt;=$E33+$F33-1),1,""))</f>
      </c>
      <c r="AY33" s="61">
        <f>IF(AND($C33="Objectif",AY$7&gt;=$E33,AY$7&lt;=$E33+$F33-1),2,IF(AND($C33="Jalon",AY$7&gt;=$E33,AY$7&lt;=$E33+$F33-1),1,""))</f>
      </c>
      <c r="AZ33" s="61">
        <f>IF(AND($C33="Objectif",AZ$7&gt;=$E33,AZ$7&lt;=$E33+$F33-1),2,IF(AND($C33="Jalon",AZ$7&gt;=$E33,AZ$7&lt;=$E33+$F33-1),1,""))</f>
      </c>
      <c r="BA33" s="61">
        <f>IF(AND($C33="Objectif",BA$7&gt;=$E33,BA$7&lt;=$E33+$F33-1),2,IF(AND($C33="Jalon",BA$7&gt;=$E33,BA$7&lt;=$E33+$F33-1),1,""))</f>
      </c>
      <c r="BB33" s="61">
        <f>IF(AND($C33="Objectif",BB$7&gt;=$E33,BB$7&lt;=$E33+$F33-1),2,IF(AND($C33="Jalon",BB$7&gt;=$E33,BB$7&lt;=$E33+$F33-1),1,""))</f>
      </c>
      <c r="BC33" s="61">
        <f>IF(AND($C33="Objectif",BC$7&gt;=$E33,BC$7&lt;=$E33+$F33-1),2,IF(AND($C33="Jalon",BC$7&gt;=$E33,BC$7&lt;=$E33+$F33-1),1,""))</f>
      </c>
      <c r="BD33" s="61">
        <f>IF(AND($C33="Objectif",BD$7&gt;=$E33,BD$7&lt;=$E33+$F33-1),2,IF(AND($C33="Jalon",BD$7&gt;=$E33,BD$7&lt;=$E33+$F33-1),1,""))</f>
      </c>
      <c r="BE33" s="61">
        <f>IF(AND($C33="Objectif",BE$7&gt;=$E33,BE$7&lt;=$E33+$F33-1),2,IF(AND($C33="Jalon",BE$7&gt;=$E33,BE$7&lt;=$E33+$F33-1),1,""))</f>
      </c>
      <c r="BF33" s="61">
        <f>IF(AND($C33="Objectif",BF$7&gt;=$E33,BF$7&lt;=$E33+$F33-1),2,IF(AND($C33="Jalon",BF$7&gt;=$E33,BF$7&lt;=$E33+$F33-1),1,""))</f>
      </c>
      <c r="BG33" s="61">
        <f>IF(AND($C33="Objectif",BG$7&gt;=$E33,BG$7&lt;=$E33+$F33-1),2,IF(AND($C33="Jalon",BG$7&gt;=$E33,BG$7&lt;=$E33+$F33-1),1,""))</f>
      </c>
      <c r="BH33" s="61">
        <f>IF(AND($C33="Objectif",BH$7&gt;=$E33,BH$7&lt;=$E33+$F33-1),2,IF(AND($C33="Jalon",BH$7&gt;=$E33,BH$7&lt;=$E33+$F33-1),1,""))</f>
      </c>
      <c r="BI33" s="61">
        <f>IF(AND($C33="Objectif",BI$7&gt;=$E33,BI$7&lt;=$E33+$F33-1),2,IF(AND($C33="Jalon",BI$7&gt;=$E33,BI$7&lt;=$E33+$F33-1),1,""))</f>
      </c>
      <c r="BJ33" s="61">
        <f>IF(AND($C33="Objectif",BJ$7&gt;=$E33,BJ$7&lt;=$E33+$F33-1),2,IF(AND($C33="Jalon",BJ$7&gt;=$E33,BJ$7&lt;=$E33+$F33-1),1,""))</f>
      </c>
      <c r="BK33" s="61">
        <f>IF(AND($C33="Objectif",BK$7&gt;=$E33,BK$7&lt;=$E33+$F33-1),2,IF(AND($C33="Jalon",BK$7&gt;=$E33,BK$7&lt;=$E33+$F33-1),1,""))</f>
      </c>
      <c r="BL33" s="1"/>
      <c r="BM33" s="1"/>
      <c r="BN33" s="1"/>
      <c r="BO33" s="1"/>
    </row>
    <row x14ac:dyDescent="0.25" r="34" customHeight="1" ht="40.2">
      <c r="A34" s="64"/>
      <c r="B34" s="63" t="s">
        <v>41</v>
      </c>
      <c r="C34" s="58" t="s">
        <v>23</v>
      </c>
      <c r="D34" s="59">
        <v>0</v>
      </c>
      <c r="E34" s="26">
        <f>E33+F33</f>
        <v>25569.125</v>
      </c>
      <c r="F34" s="58">
        <v>1</v>
      </c>
      <c r="G34" s="60"/>
      <c r="H34" s="61">
        <f>IF(AND($C34="Objectif",H$7&gt;=$E34,H$7&lt;=$E34+$F34-1),2,IF(AND($C34="Jalon",H$7&gt;=$E34,H$7&lt;=$E34+$F34-1),1,""))</f>
      </c>
      <c r="I34" s="61">
        <f>IF(AND($C34="Objectif",I$7&gt;=$E34,I$7&lt;=$E34+$F34-1),2,IF(AND($C34="Jalon",I$7&gt;=$E34,I$7&lt;=$E34+$F34-1),1,""))</f>
      </c>
      <c r="J34" s="61">
        <f>IF(AND($C34="Objectif",J$7&gt;=$E34,J$7&lt;=$E34+$F34-1),2,IF(AND($C34="Jalon",J$7&gt;=$E34,J$7&lt;=$E34+$F34-1),1,""))</f>
      </c>
      <c r="K34" s="61">
        <f>IF(AND($C34="Objectif",K$7&gt;=$E34,K$7&lt;=$E34+$F34-1),2,IF(AND($C34="Jalon",K$7&gt;=$E34,K$7&lt;=$E34+$F34-1),1,""))</f>
      </c>
      <c r="L34" s="61">
        <f>IF(AND($C34="Objectif",L$7&gt;=$E34,L$7&lt;=$E34+$F34-1),2,IF(AND($C34="Jalon",L$7&gt;=$E34,L$7&lt;=$E34+$F34-1),1,""))</f>
      </c>
      <c r="M34" s="61">
        <f>IF(AND($C34="Objectif",M$7&gt;=$E34,M$7&lt;=$E34+$F34-1),2,IF(AND($C34="Jalon",M$7&gt;=$E34,M$7&lt;=$E34+$F34-1),1,""))</f>
      </c>
      <c r="N34" s="61">
        <f>IF(AND($C34="Objectif",N$7&gt;=$E34,N$7&lt;=$E34+$F34-1),2,IF(AND($C34="Jalon",N$7&gt;=$E34,N$7&lt;=$E34+$F34-1),1,""))</f>
      </c>
      <c r="O34" s="61">
        <f>IF(AND($C34="Objectif",O$7&gt;=$E34,O$7&lt;=$E34+$F34-1),2,IF(AND($C34="Jalon",O$7&gt;=$E34,O$7&lt;=$E34+$F34-1),1,""))</f>
      </c>
      <c r="P34" s="61">
        <f>IF(AND($C34="Objectif",P$7&gt;=$E34,P$7&lt;=$E34+$F34-1),2,IF(AND($C34="Jalon",P$7&gt;=$E34,P$7&lt;=$E34+$F34-1),1,""))</f>
      </c>
      <c r="Q34" s="61">
        <f>IF(AND($C34="Objectif",Q$7&gt;=$E34,Q$7&lt;=$E34+$F34-1),2,IF(AND($C34="Jalon",Q$7&gt;=$E34,Q$7&lt;=$E34+$F34-1),1,""))</f>
      </c>
      <c r="R34" s="61">
        <f>IF(AND($C34="Objectif",R$7&gt;=$E34,R$7&lt;=$E34+$F34-1),2,IF(AND($C34="Jalon",R$7&gt;=$E34,R$7&lt;=$E34+$F34-1),1,""))</f>
      </c>
      <c r="S34" s="61">
        <f>IF(AND($C34="Objectif",S$7&gt;=$E34,S$7&lt;=$E34+$F34-1),2,IF(AND($C34="Jalon",S$7&gt;=$E34,S$7&lt;=$E34+$F34-1),1,""))</f>
      </c>
      <c r="T34" s="61">
        <f>IF(AND($C34="Objectif",T$7&gt;=$E34,T$7&lt;=$E34+$F34-1),2,IF(AND($C34="Jalon",T$7&gt;=$E34,T$7&lt;=$E34+$F34-1),1,""))</f>
      </c>
      <c r="U34" s="61">
        <f>IF(AND($C34="Objectif",U$7&gt;=$E34,U$7&lt;=$E34+$F34-1),2,IF(AND($C34="Jalon",U$7&gt;=$E34,U$7&lt;=$E34+$F34-1),1,""))</f>
      </c>
      <c r="V34" s="61">
        <f>IF(AND($C34="Objectif",V$7&gt;=$E34,V$7&lt;=$E34+$F34-1),2,IF(AND($C34="Jalon",V$7&gt;=$E34,V$7&lt;=$E34+$F34-1),1,""))</f>
      </c>
      <c r="W34" s="61">
        <f>IF(AND($C34="Objectif",W$7&gt;=$E34,W$7&lt;=$E34+$F34-1),2,IF(AND($C34="Jalon",W$7&gt;=$E34,W$7&lt;=$E34+$F34-1),1,""))</f>
      </c>
      <c r="X34" s="61">
        <f>IF(AND($C34="Objectif",X$7&gt;=$E34,X$7&lt;=$E34+$F34-1),2,IF(AND($C34="Jalon",X$7&gt;=$E34,X$7&lt;=$E34+$F34-1),1,""))</f>
      </c>
      <c r="Y34" s="61">
        <f>IF(AND($C34="Objectif",Y$7&gt;=$E34,Y$7&lt;=$E34+$F34-1),2,IF(AND($C34="Jalon",Y$7&gt;=$E34,Y$7&lt;=$E34+$F34-1),1,""))</f>
      </c>
      <c r="Z34" s="61">
        <f>IF(AND($C34="Objectif",Z$7&gt;=$E34,Z$7&lt;=$E34+$F34-1),2,IF(AND($C34="Jalon",Z$7&gt;=$E34,Z$7&lt;=$E34+$F34-1),1,""))</f>
      </c>
      <c r="AA34" s="61">
        <f>IF(AND($C34="Objectif",AA$7&gt;=$E34,AA$7&lt;=$E34+$F34-1),2,IF(AND($C34="Jalon",AA$7&gt;=$E34,AA$7&lt;=$E34+$F34-1),1,""))</f>
      </c>
      <c r="AB34" s="61">
        <f>IF(AND($C34="Objectif",AB$7&gt;=$E34,AB$7&lt;=$E34+$F34-1),2,IF(AND($C34="Jalon",AB$7&gt;=$E34,AB$7&lt;=$E34+$F34-1),1,""))</f>
      </c>
      <c r="AC34" s="61">
        <f>IF(AND($C34="Objectif",AC$7&gt;=$E34,AC$7&lt;=$E34+$F34-1),2,IF(AND($C34="Jalon",AC$7&gt;=$E34,AC$7&lt;=$E34+$F34-1),1,""))</f>
      </c>
      <c r="AD34" s="61">
        <f>IF(AND($C34="Objectif",AD$7&gt;=$E34,AD$7&lt;=$E34+$F34-1),2,IF(AND($C34="Jalon",AD$7&gt;=$E34,AD$7&lt;=$E34+$F34-1),1,""))</f>
      </c>
      <c r="AE34" s="61">
        <f>IF(AND($C34="Objectif",AE$7&gt;=$E34,AE$7&lt;=$E34+$F34-1),2,IF(AND($C34="Jalon",AE$7&gt;=$E34,AE$7&lt;=$E34+$F34-1),1,""))</f>
      </c>
      <c r="AF34" s="61">
        <f>IF(AND($C34="Objectif",AF$7&gt;=$E34,AF$7&lt;=$E34+$F34-1),2,IF(AND($C34="Jalon",AF$7&gt;=$E34,AF$7&lt;=$E34+$F34-1),1,""))</f>
      </c>
      <c r="AG34" s="61">
        <f>IF(AND($C34="Objectif",AG$7&gt;=$E34,AG$7&lt;=$E34+$F34-1),2,IF(AND($C34="Jalon",AG$7&gt;=$E34,AG$7&lt;=$E34+$F34-1),1,""))</f>
      </c>
      <c r="AH34" s="61">
        <f>IF(AND($C34="Objectif",AH$7&gt;=$E34,AH$7&lt;=$E34+$F34-1),2,IF(AND($C34="Jalon",AH$7&gt;=$E34,AH$7&lt;=$E34+$F34-1),1,""))</f>
      </c>
      <c r="AI34" s="61">
        <f>IF(AND($C34="Objectif",AI$7&gt;=$E34,AI$7&lt;=$E34+$F34-1),2,IF(AND($C34="Jalon",AI$7&gt;=$E34,AI$7&lt;=$E34+$F34-1),1,""))</f>
      </c>
      <c r="AJ34" s="61">
        <f>IF(AND($C34="Objectif",AJ$7&gt;=$E34,AJ$7&lt;=$E34+$F34-1),2,IF(AND($C34="Jalon",AJ$7&gt;=$E34,AJ$7&lt;=$E34+$F34-1),1,""))</f>
      </c>
      <c r="AK34" s="61">
        <f>IF(AND($C34="Objectif",AK$7&gt;=$E34,AK$7&lt;=$E34+$F34-1),2,IF(AND($C34="Jalon",AK$7&gt;=$E34,AK$7&lt;=$E34+$F34-1),1,""))</f>
      </c>
      <c r="AL34" s="61">
        <f>IF(AND($C34="Objectif",AL$7&gt;=$E34,AL$7&lt;=$E34+$F34-1),2,IF(AND($C34="Jalon",AL$7&gt;=$E34,AL$7&lt;=$E34+$F34-1),1,""))</f>
      </c>
      <c r="AM34" s="61">
        <f>IF(AND($C34="Objectif",AM$7&gt;=$E34,AM$7&lt;=$E34+$F34-1),2,IF(AND($C34="Jalon",AM$7&gt;=$E34,AM$7&lt;=$E34+$F34-1),1,""))</f>
      </c>
      <c r="AN34" s="61">
        <f>IF(AND($C34="Objectif",AN$7&gt;=$E34,AN$7&lt;=$E34+$F34-1),2,IF(AND($C34="Jalon",AN$7&gt;=$E34,AN$7&lt;=$E34+$F34-1),1,""))</f>
      </c>
      <c r="AO34" s="61">
        <f>IF(AND($C34="Objectif",AO$7&gt;=$E34,AO$7&lt;=$E34+$F34-1),2,IF(AND($C34="Jalon",AO$7&gt;=$E34,AO$7&lt;=$E34+$F34-1),1,""))</f>
      </c>
      <c r="AP34" s="61">
        <f>IF(AND($C34="Objectif",AP$7&gt;=$E34,AP$7&lt;=$E34+$F34-1),2,IF(AND($C34="Jalon",AP$7&gt;=$E34,AP$7&lt;=$E34+$F34-1),1,""))</f>
      </c>
      <c r="AQ34" s="61">
        <f>IF(AND($C34="Objectif",AQ$7&gt;=$E34,AQ$7&lt;=$E34+$F34-1),2,IF(AND($C34="Jalon",AQ$7&gt;=$E34,AQ$7&lt;=$E34+$F34-1),1,""))</f>
      </c>
      <c r="AR34" s="61">
        <f>IF(AND($C34="Objectif",AR$7&gt;=$E34,AR$7&lt;=$E34+$F34-1),2,IF(AND($C34="Jalon",AR$7&gt;=$E34,AR$7&lt;=$E34+$F34-1),1,""))</f>
      </c>
      <c r="AS34" s="61">
        <f>IF(AND($C34="Objectif",AS$7&gt;=$E34,AS$7&lt;=$E34+$F34-1),2,IF(AND($C34="Jalon",AS$7&gt;=$E34,AS$7&lt;=$E34+$F34-1),1,""))</f>
      </c>
      <c r="AT34" s="61">
        <f>IF(AND($C34="Objectif",AT$7&gt;=$E34,AT$7&lt;=$E34+$F34-1),2,IF(AND($C34="Jalon",AT$7&gt;=$E34,AT$7&lt;=$E34+$F34-1),1,""))</f>
      </c>
      <c r="AU34" s="61">
        <f>IF(AND($C34="Objectif",AU$7&gt;=$E34,AU$7&lt;=$E34+$F34-1),2,IF(AND($C34="Jalon",AU$7&gt;=$E34,AU$7&lt;=$E34+$F34-1),1,""))</f>
      </c>
      <c r="AV34" s="61">
        <f>IF(AND($C34="Objectif",AV$7&gt;=$E34,AV$7&lt;=$E34+$F34-1),2,IF(AND($C34="Jalon",AV$7&gt;=$E34,AV$7&lt;=$E34+$F34-1),1,""))</f>
      </c>
      <c r="AW34" s="61">
        <f>IF(AND($C34="Objectif",AW$7&gt;=$E34,AW$7&lt;=$E34+$F34-1),2,IF(AND($C34="Jalon",AW$7&gt;=$E34,AW$7&lt;=$E34+$F34-1),1,""))</f>
      </c>
      <c r="AX34" s="61">
        <f>IF(AND($C34="Objectif",AX$7&gt;=$E34,AX$7&lt;=$E34+$F34-1),2,IF(AND($C34="Jalon",AX$7&gt;=$E34,AX$7&lt;=$E34+$F34-1),1,""))</f>
      </c>
      <c r="AY34" s="61">
        <f>IF(AND($C34="Objectif",AY$7&gt;=$E34,AY$7&lt;=$E34+$F34-1),2,IF(AND($C34="Jalon",AY$7&gt;=$E34,AY$7&lt;=$E34+$F34-1),1,""))</f>
      </c>
      <c r="AZ34" s="61">
        <f>IF(AND($C34="Objectif",AZ$7&gt;=$E34,AZ$7&lt;=$E34+$F34-1),2,IF(AND($C34="Jalon",AZ$7&gt;=$E34,AZ$7&lt;=$E34+$F34-1),1,""))</f>
      </c>
      <c r="BA34" s="61">
        <f>IF(AND($C34="Objectif",BA$7&gt;=$E34,BA$7&lt;=$E34+$F34-1),2,IF(AND($C34="Jalon",BA$7&gt;=$E34,BA$7&lt;=$E34+$F34-1),1,""))</f>
      </c>
      <c r="BB34" s="61">
        <f>IF(AND($C34="Objectif",BB$7&gt;=$E34,BB$7&lt;=$E34+$F34-1),2,IF(AND($C34="Jalon",BB$7&gt;=$E34,BB$7&lt;=$E34+$F34-1),1,""))</f>
      </c>
      <c r="BC34" s="61">
        <f>IF(AND($C34="Objectif",BC$7&gt;=$E34,BC$7&lt;=$E34+$F34-1),2,IF(AND($C34="Jalon",BC$7&gt;=$E34,BC$7&lt;=$E34+$F34-1),1,""))</f>
      </c>
      <c r="BD34" s="61">
        <f>IF(AND($C34="Objectif",BD$7&gt;=$E34,BD$7&lt;=$E34+$F34-1),2,IF(AND($C34="Jalon",BD$7&gt;=$E34,BD$7&lt;=$E34+$F34-1),1,""))</f>
      </c>
      <c r="BE34" s="61">
        <f>IF(AND($C34="Objectif",BE$7&gt;=$E34,BE$7&lt;=$E34+$F34-1),2,IF(AND($C34="Jalon",BE$7&gt;=$E34,BE$7&lt;=$E34+$F34-1),1,""))</f>
      </c>
      <c r="BF34" s="61">
        <f>IF(AND($C34="Objectif",BF$7&gt;=$E34,BF$7&lt;=$E34+$F34-1),2,IF(AND($C34="Jalon",BF$7&gt;=$E34,BF$7&lt;=$E34+$F34-1),1,""))</f>
      </c>
      <c r="BG34" s="61">
        <f>IF(AND($C34="Objectif",BG$7&gt;=$E34,BG$7&lt;=$E34+$F34-1),2,IF(AND($C34="Jalon",BG$7&gt;=$E34,BG$7&lt;=$E34+$F34-1),1,""))</f>
      </c>
      <c r="BH34" s="61">
        <f>IF(AND($C34="Objectif",BH$7&gt;=$E34,BH$7&lt;=$E34+$F34-1),2,IF(AND($C34="Jalon",BH$7&gt;=$E34,BH$7&lt;=$E34+$F34-1),1,""))</f>
      </c>
      <c r="BI34" s="61">
        <f>IF(AND($C34="Objectif",BI$7&gt;=$E34,BI$7&lt;=$E34+$F34-1),2,IF(AND($C34="Jalon",BI$7&gt;=$E34,BI$7&lt;=$E34+$F34-1),1,""))</f>
      </c>
      <c r="BJ34" s="61">
        <f>IF(AND($C34="Objectif",BJ$7&gt;=$E34,BJ$7&lt;=$E34+$F34-1),2,IF(AND($C34="Jalon",BJ$7&gt;=$E34,BJ$7&lt;=$E34+$F34-1),1,""))</f>
      </c>
      <c r="BK34" s="61">
        <f>IF(AND($C34="Objectif",BK$7&gt;=$E34,BK$7&lt;=$E34+$F34-1),2,IF(AND($C34="Jalon",BK$7&gt;=$E34,BK$7&lt;=$E34+$F34-1),1,""))</f>
      </c>
      <c r="BL34" s="1"/>
      <c r="BM34" s="1"/>
      <c r="BN34" s="1"/>
      <c r="BO34" s="1"/>
    </row>
    <row x14ac:dyDescent="0.25" r="35" customHeight="1" ht="40.2">
      <c r="A35" s="64"/>
      <c r="B35" s="63"/>
      <c r="C35" s="58"/>
      <c r="D35" s="59"/>
      <c r="E35" s="26"/>
      <c r="F35" s="58"/>
      <c r="G35" s="60"/>
      <c r="H35" s="61">
        <f>IF(AND($C35="Objectif",H$7&gt;=$E35,H$7&lt;=$E35+$F35-1),2,IF(AND($C35="Jalon",H$7&gt;=$E35,H$7&lt;=$E35+$F35-1),1,""))</f>
      </c>
      <c r="I35" s="61">
        <f>IF(AND($C35="Objectif",I$7&gt;=$E35,I$7&lt;=$E35+$F35-1),2,IF(AND($C35="Jalon",I$7&gt;=$E35,I$7&lt;=$E35+$F35-1),1,""))</f>
      </c>
      <c r="J35" s="61">
        <f>IF(AND($C35="Objectif",J$7&gt;=$E35,J$7&lt;=$E35+$F35-1),2,IF(AND($C35="Jalon",J$7&gt;=$E35,J$7&lt;=$E35+$F35-1),1,""))</f>
      </c>
      <c r="K35" s="61">
        <f>IF(AND($C35="Objectif",K$7&gt;=$E35,K$7&lt;=$E35+$F35-1),2,IF(AND($C35="Jalon",K$7&gt;=$E35,K$7&lt;=$E35+$F35-1),1,""))</f>
      </c>
      <c r="L35" s="61">
        <f>IF(AND($C35="Objectif",L$7&gt;=$E35,L$7&lt;=$E35+$F35-1),2,IF(AND($C35="Jalon",L$7&gt;=$E35,L$7&lt;=$E35+$F35-1),1,""))</f>
      </c>
      <c r="M35" s="61">
        <f>IF(AND($C35="Objectif",M$7&gt;=$E35,M$7&lt;=$E35+$F35-1),2,IF(AND($C35="Jalon",M$7&gt;=$E35,M$7&lt;=$E35+$F35-1),1,""))</f>
      </c>
      <c r="N35" s="61">
        <f>IF(AND($C35="Objectif",N$7&gt;=$E35,N$7&lt;=$E35+$F35-1),2,IF(AND($C35="Jalon",N$7&gt;=$E35,N$7&lt;=$E35+$F35-1),1,""))</f>
      </c>
      <c r="O35" s="61">
        <f>IF(AND($C35="Objectif",O$7&gt;=$E35,O$7&lt;=$E35+$F35-1),2,IF(AND($C35="Jalon",O$7&gt;=$E35,O$7&lt;=$E35+$F35-1),1,""))</f>
      </c>
      <c r="P35" s="61">
        <f>IF(AND($C35="Objectif",P$7&gt;=$E35,P$7&lt;=$E35+$F35-1),2,IF(AND($C35="Jalon",P$7&gt;=$E35,P$7&lt;=$E35+$F35-1),1,""))</f>
      </c>
      <c r="Q35" s="61">
        <f>IF(AND($C35="Objectif",Q$7&gt;=$E35,Q$7&lt;=$E35+$F35-1),2,IF(AND($C35="Jalon",Q$7&gt;=$E35,Q$7&lt;=$E35+$F35-1),1,""))</f>
      </c>
      <c r="R35" s="61">
        <f>IF(AND($C35="Objectif",R$7&gt;=$E35,R$7&lt;=$E35+$F35-1),2,IF(AND($C35="Jalon",R$7&gt;=$E35,R$7&lt;=$E35+$F35-1),1,""))</f>
      </c>
      <c r="S35" s="61">
        <f>IF(AND($C35="Objectif",S$7&gt;=$E35,S$7&lt;=$E35+$F35-1),2,IF(AND($C35="Jalon",S$7&gt;=$E35,S$7&lt;=$E35+$F35-1),1,""))</f>
      </c>
      <c r="T35" s="61">
        <f>IF(AND($C35="Objectif",T$7&gt;=$E35,T$7&lt;=$E35+$F35-1),2,IF(AND($C35="Jalon",T$7&gt;=$E35,T$7&lt;=$E35+$F35-1),1,""))</f>
      </c>
      <c r="U35" s="61">
        <f>IF(AND($C35="Objectif",U$7&gt;=$E35,U$7&lt;=$E35+$F35-1),2,IF(AND($C35="Jalon",U$7&gt;=$E35,U$7&lt;=$E35+$F35-1),1,""))</f>
      </c>
      <c r="V35" s="61">
        <f>IF(AND($C35="Objectif",V$7&gt;=$E35,V$7&lt;=$E35+$F35-1),2,IF(AND($C35="Jalon",V$7&gt;=$E35,V$7&lt;=$E35+$F35-1),1,""))</f>
      </c>
      <c r="W35" s="61">
        <f>IF(AND($C35="Objectif",W$7&gt;=$E35,W$7&lt;=$E35+$F35-1),2,IF(AND($C35="Jalon",W$7&gt;=$E35,W$7&lt;=$E35+$F35-1),1,""))</f>
      </c>
      <c r="X35" s="61">
        <f>IF(AND($C35="Objectif",X$7&gt;=$E35,X$7&lt;=$E35+$F35-1),2,IF(AND($C35="Jalon",X$7&gt;=$E35,X$7&lt;=$E35+$F35-1),1,""))</f>
      </c>
      <c r="Y35" s="61">
        <f>IF(AND($C35="Objectif",Y$7&gt;=$E35,Y$7&lt;=$E35+$F35-1),2,IF(AND($C35="Jalon",Y$7&gt;=$E35,Y$7&lt;=$E35+$F35-1),1,""))</f>
      </c>
      <c r="Z35" s="61">
        <f>IF(AND($C35="Objectif",Z$7&gt;=$E35,Z$7&lt;=$E35+$F35-1),2,IF(AND($C35="Jalon",Z$7&gt;=$E35,Z$7&lt;=$E35+$F35-1),1,""))</f>
      </c>
      <c r="AA35" s="61">
        <f>IF(AND($C35="Objectif",AA$7&gt;=$E35,AA$7&lt;=$E35+$F35-1),2,IF(AND($C35="Jalon",AA$7&gt;=$E35,AA$7&lt;=$E35+$F35-1),1,""))</f>
      </c>
      <c r="AB35" s="61">
        <f>IF(AND($C35="Objectif",AB$7&gt;=$E35,AB$7&lt;=$E35+$F35-1),2,IF(AND($C35="Jalon",AB$7&gt;=$E35,AB$7&lt;=$E35+$F35-1),1,""))</f>
      </c>
      <c r="AC35" s="61">
        <f>IF(AND($C35="Objectif",AC$7&gt;=$E35,AC$7&lt;=$E35+$F35-1),2,IF(AND($C35="Jalon",AC$7&gt;=$E35,AC$7&lt;=$E35+$F35-1),1,""))</f>
      </c>
      <c r="AD35" s="61">
        <f>IF(AND($C35="Objectif",AD$7&gt;=$E35,AD$7&lt;=$E35+$F35-1),2,IF(AND($C35="Jalon",AD$7&gt;=$E35,AD$7&lt;=$E35+$F35-1),1,""))</f>
      </c>
      <c r="AE35" s="61">
        <f>IF(AND($C35="Objectif",AE$7&gt;=$E35,AE$7&lt;=$E35+$F35-1),2,IF(AND($C35="Jalon",AE$7&gt;=$E35,AE$7&lt;=$E35+$F35-1),1,""))</f>
      </c>
      <c r="AF35" s="61">
        <f>IF(AND($C35="Objectif",AF$7&gt;=$E35,AF$7&lt;=$E35+$F35-1),2,IF(AND($C35="Jalon",AF$7&gt;=$E35,AF$7&lt;=$E35+$F35-1),1,""))</f>
      </c>
      <c r="AG35" s="61">
        <f>IF(AND($C35="Objectif",AG$7&gt;=$E35,AG$7&lt;=$E35+$F35-1),2,IF(AND($C35="Jalon",AG$7&gt;=$E35,AG$7&lt;=$E35+$F35-1),1,""))</f>
      </c>
      <c r="AH35" s="61">
        <f>IF(AND($C35="Objectif",AH$7&gt;=$E35,AH$7&lt;=$E35+$F35-1),2,IF(AND($C35="Jalon",AH$7&gt;=$E35,AH$7&lt;=$E35+$F35-1),1,""))</f>
      </c>
      <c r="AI35" s="61">
        <f>IF(AND($C35="Objectif",AI$7&gt;=$E35,AI$7&lt;=$E35+$F35-1),2,IF(AND($C35="Jalon",AI$7&gt;=$E35,AI$7&lt;=$E35+$F35-1),1,""))</f>
      </c>
      <c r="AJ35" s="61">
        <f>IF(AND($C35="Objectif",AJ$7&gt;=$E35,AJ$7&lt;=$E35+$F35-1),2,IF(AND($C35="Jalon",AJ$7&gt;=$E35,AJ$7&lt;=$E35+$F35-1),1,""))</f>
      </c>
      <c r="AK35" s="61">
        <f>IF(AND($C35="Objectif",AK$7&gt;=$E35,AK$7&lt;=$E35+$F35-1),2,IF(AND($C35="Jalon",AK$7&gt;=$E35,AK$7&lt;=$E35+$F35-1),1,""))</f>
      </c>
      <c r="AL35" s="61">
        <f>IF(AND($C35="Objectif",AL$7&gt;=$E35,AL$7&lt;=$E35+$F35-1),2,IF(AND($C35="Jalon",AL$7&gt;=$E35,AL$7&lt;=$E35+$F35-1),1,""))</f>
      </c>
      <c r="AM35" s="61">
        <f>IF(AND($C35="Objectif",AM$7&gt;=$E35,AM$7&lt;=$E35+$F35-1),2,IF(AND($C35="Jalon",AM$7&gt;=$E35,AM$7&lt;=$E35+$F35-1),1,""))</f>
      </c>
      <c r="AN35" s="61">
        <f>IF(AND($C35="Objectif",AN$7&gt;=$E35,AN$7&lt;=$E35+$F35-1),2,IF(AND($C35="Jalon",AN$7&gt;=$E35,AN$7&lt;=$E35+$F35-1),1,""))</f>
      </c>
      <c r="AO35" s="61">
        <f>IF(AND($C35="Objectif",AO$7&gt;=$E35,AO$7&lt;=$E35+$F35-1),2,IF(AND($C35="Jalon",AO$7&gt;=$E35,AO$7&lt;=$E35+$F35-1),1,""))</f>
      </c>
      <c r="AP35" s="61">
        <f>IF(AND($C35="Objectif",AP$7&gt;=$E35,AP$7&lt;=$E35+$F35-1),2,IF(AND($C35="Jalon",AP$7&gt;=$E35,AP$7&lt;=$E35+$F35-1),1,""))</f>
      </c>
      <c r="AQ35" s="61">
        <f>IF(AND($C35="Objectif",AQ$7&gt;=$E35,AQ$7&lt;=$E35+$F35-1),2,IF(AND($C35="Jalon",AQ$7&gt;=$E35,AQ$7&lt;=$E35+$F35-1),1,""))</f>
      </c>
      <c r="AR35" s="61">
        <f>IF(AND($C35="Objectif",AR$7&gt;=$E35,AR$7&lt;=$E35+$F35-1),2,IF(AND($C35="Jalon",AR$7&gt;=$E35,AR$7&lt;=$E35+$F35-1),1,""))</f>
      </c>
      <c r="AS35" s="61">
        <f>IF(AND($C35="Objectif",AS$7&gt;=$E35,AS$7&lt;=$E35+$F35-1),2,IF(AND($C35="Jalon",AS$7&gt;=$E35,AS$7&lt;=$E35+$F35-1),1,""))</f>
      </c>
      <c r="AT35" s="61">
        <f>IF(AND($C35="Objectif",AT$7&gt;=$E35,AT$7&lt;=$E35+$F35-1),2,IF(AND($C35="Jalon",AT$7&gt;=$E35,AT$7&lt;=$E35+$F35-1),1,""))</f>
      </c>
      <c r="AU35" s="61">
        <f>IF(AND($C35="Objectif",AU$7&gt;=$E35,AU$7&lt;=$E35+$F35-1),2,IF(AND($C35="Jalon",AU$7&gt;=$E35,AU$7&lt;=$E35+$F35-1),1,""))</f>
      </c>
      <c r="AV35" s="61">
        <f>IF(AND($C35="Objectif",AV$7&gt;=$E35,AV$7&lt;=$E35+$F35-1),2,IF(AND($C35="Jalon",AV$7&gt;=$E35,AV$7&lt;=$E35+$F35-1),1,""))</f>
      </c>
      <c r="AW35" s="61">
        <f>IF(AND($C35="Objectif",AW$7&gt;=$E35,AW$7&lt;=$E35+$F35-1),2,IF(AND($C35="Jalon",AW$7&gt;=$E35,AW$7&lt;=$E35+$F35-1),1,""))</f>
      </c>
      <c r="AX35" s="61">
        <f>IF(AND($C35="Objectif",AX$7&gt;=$E35,AX$7&lt;=$E35+$F35-1),2,IF(AND($C35="Jalon",AX$7&gt;=$E35,AX$7&lt;=$E35+$F35-1),1,""))</f>
      </c>
      <c r="AY35" s="61">
        <f>IF(AND($C35="Objectif",AY$7&gt;=$E35,AY$7&lt;=$E35+$F35-1),2,IF(AND($C35="Jalon",AY$7&gt;=$E35,AY$7&lt;=$E35+$F35-1),1,""))</f>
      </c>
      <c r="AZ35" s="61">
        <f>IF(AND($C35="Objectif",AZ$7&gt;=$E35,AZ$7&lt;=$E35+$F35-1),2,IF(AND($C35="Jalon",AZ$7&gt;=$E35,AZ$7&lt;=$E35+$F35-1),1,""))</f>
      </c>
      <c r="BA35" s="61">
        <f>IF(AND($C35="Objectif",BA$7&gt;=$E35,BA$7&lt;=$E35+$F35-1),2,IF(AND($C35="Jalon",BA$7&gt;=$E35,BA$7&lt;=$E35+$F35-1),1,""))</f>
      </c>
      <c r="BB35" s="61">
        <f>IF(AND($C35="Objectif",BB$7&gt;=$E35,BB$7&lt;=$E35+$F35-1),2,IF(AND($C35="Jalon",BB$7&gt;=$E35,BB$7&lt;=$E35+$F35-1),1,""))</f>
      </c>
      <c r="BC35" s="61">
        <f>IF(AND($C35="Objectif",BC$7&gt;=$E35,BC$7&lt;=$E35+$F35-1),2,IF(AND($C35="Jalon",BC$7&gt;=$E35,BC$7&lt;=$E35+$F35-1),1,""))</f>
      </c>
      <c r="BD35" s="61">
        <f>IF(AND($C35="Objectif",BD$7&gt;=$E35,BD$7&lt;=$E35+$F35-1),2,IF(AND($C35="Jalon",BD$7&gt;=$E35,BD$7&lt;=$E35+$F35-1),1,""))</f>
      </c>
      <c r="BE35" s="61">
        <f>IF(AND($C35="Objectif",BE$7&gt;=$E35,BE$7&lt;=$E35+$F35-1),2,IF(AND($C35="Jalon",BE$7&gt;=$E35,BE$7&lt;=$E35+$F35-1),1,""))</f>
      </c>
      <c r="BF35" s="61">
        <f>IF(AND($C35="Objectif",BF$7&gt;=$E35,BF$7&lt;=$E35+$F35-1),2,IF(AND($C35="Jalon",BF$7&gt;=$E35,BF$7&lt;=$E35+$F35-1),1,""))</f>
      </c>
      <c r="BG35" s="61">
        <f>IF(AND($C35="Objectif",BG$7&gt;=$E35,BG$7&lt;=$E35+$F35-1),2,IF(AND($C35="Jalon",BG$7&gt;=$E35,BG$7&lt;=$E35+$F35-1),1,""))</f>
      </c>
      <c r="BH35" s="61">
        <f>IF(AND($C35="Objectif",BH$7&gt;=$E35,BH$7&lt;=$E35+$F35-1),2,IF(AND($C35="Jalon",BH$7&gt;=$E35,BH$7&lt;=$E35+$F35-1),1,""))</f>
      </c>
      <c r="BI35" s="61">
        <f>IF(AND($C35="Objectif",BI$7&gt;=$E35,BI$7&lt;=$E35+$F35-1),2,IF(AND($C35="Jalon",BI$7&gt;=$E35,BI$7&lt;=$E35+$F35-1),1,""))</f>
      </c>
      <c r="BJ35" s="61">
        <f>IF(AND($C35="Objectif",BJ$7&gt;=$E35,BJ$7&lt;=$E35+$F35-1),2,IF(AND($C35="Jalon",BJ$7&gt;=$E35,BJ$7&lt;=$E35+$F35-1),1,""))</f>
      </c>
      <c r="BK35" s="61">
        <f>IF(AND($C35="Objectif",BK$7&gt;=$E35,BK$7&lt;=$E35+$F35-1),2,IF(AND($C35="Jalon",BK$7&gt;=$E35,BK$7&lt;=$E35+$F35-1),1,""))</f>
      </c>
      <c r="BL35" s="65"/>
      <c r="BM35" s="1"/>
      <c r="BN35" s="1"/>
      <c r="BO35" s="1"/>
    </row>
    <row x14ac:dyDescent="0.25" r="36" customHeight="1" ht="40.2">
      <c r="A36" s="7"/>
      <c r="B36" s="63" t="s">
        <v>42</v>
      </c>
      <c r="C36" s="58"/>
      <c r="D36" s="19"/>
      <c r="E36" s="26"/>
      <c r="F36" s="58"/>
      <c r="G36" s="60"/>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55"/>
      <c r="AW36" s="55"/>
      <c r="AX36" s="55"/>
      <c r="AY36" s="55"/>
      <c r="AZ36" s="55"/>
      <c r="BA36" s="55"/>
      <c r="BB36" s="55"/>
      <c r="BC36" s="55"/>
      <c r="BD36" s="55"/>
      <c r="BE36" s="55"/>
      <c r="BF36" s="55"/>
      <c r="BG36" s="55"/>
      <c r="BH36" s="55"/>
      <c r="BI36" s="55"/>
      <c r="BJ36" s="55"/>
      <c r="BK36" s="55"/>
      <c r="BL36" s="1"/>
      <c r="BM36" s="1"/>
      <c r="BN36" s="1"/>
      <c r="BO36" s="1"/>
    </row>
    <row x14ac:dyDescent="0.25" r="37" customHeight="1" ht="30">
      <c r="A37" s="1"/>
      <c r="B37" s="1"/>
      <c r="C37" s="2"/>
      <c r="D37" s="3"/>
      <c r="E37" s="4"/>
      <c r="F37" s="66"/>
      <c r="G37" s="67"/>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1"/>
      <c r="BM37" s="1"/>
      <c r="BN37" s="1"/>
      <c r="BO37" s="1"/>
    </row>
  </sheetData>
  <mergeCells count="8">
    <mergeCell ref="B2:G2"/>
    <mergeCell ref="H2:M2"/>
    <mergeCell ref="N2:S2"/>
    <mergeCell ref="H4:L4"/>
    <mergeCell ref="N4:R4"/>
    <mergeCell ref="T4:X4"/>
    <mergeCell ref="Z4:AD4"/>
    <mergeCell ref="AF4:AJ4"/>
  </mergeCells>
  <pageMargins left="0.7" right="0.7" top="0.75" bottom="0.75" header="0.3" footer="0.3"/>
  <tableParts count="1">
    <tablePart r:id="rId1"/>
  </tableParts>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À propos de</vt:lpstr>
      <vt:lpstr>Couleur</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2026-09-28T16:24:00.370Z</dcterms:created>
  <dcterms:modified xsi:type="dcterms:W3CDTF">2026-09-28T16:24:00.370Z</dcterms:modified>
</cp:coreProperties>
</file>